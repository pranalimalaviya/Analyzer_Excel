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2fc1ae77133e07/Desktop/Excel_Labwork/"/>
    </mc:Choice>
  </mc:AlternateContent>
  <xr:revisionPtr revIDLastSave="875" documentId="8_{31A919C3-2792-49AC-AB37-7DF6BCFD1A64}" xr6:coauthVersionLast="47" xr6:coauthVersionMax="47" xr10:uidLastSave="{B188BBCC-9FE3-4A0A-8A2C-EB4F550C80D2}"/>
  <bookViews>
    <workbookView xWindow="-108" yWindow="-108" windowWidth="23256" windowHeight="12456" xr2:uid="{CDB44EB1-D282-4F73-BDF5-2B0D6AD76AFA}"/>
  </bookViews>
  <sheets>
    <sheet name="Dataset" sheetId="1" r:id="rId1"/>
    <sheet name="Analysis &amp; Statistics" sheetId="2" r:id="rId2"/>
    <sheet name="Pivot &amp; What-If" sheetId="6" r:id="rId3"/>
    <sheet name="Dashboard" sheetId="5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D5" i="5"/>
  <c r="B5" i="5"/>
  <c r="A5" i="5"/>
  <c r="E14" i="6"/>
  <c r="C14" i="6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</calcChain>
</file>

<file path=xl/sharedStrings.xml><?xml version="1.0" encoding="utf-8"?>
<sst xmlns="http://schemas.openxmlformats.org/spreadsheetml/2006/main" count="887" uniqueCount="133">
  <si>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</si>
  <si>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</si>
  <si>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</si>
  <si>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</si>
  <si>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</si>
  <si>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</si>
  <si>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</si>
  <si>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</si>
  <si>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</si>
  <si>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</si>
  <si>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</si>
  <si>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</si>
  <si>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</si>
  <si>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</si>
  <si>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</si>
  <si>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</si>
  <si>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</si>
  <si>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</si>
  <si>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</si>
  <si>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</si>
  <si>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</si>
  <si>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</si>
  <si>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</si>
  <si>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</si>
  <si>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</si>
  <si>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</si>
  <si>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</si>
  <si>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</si>
  <si>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</si>
  <si>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</si>
  <si>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</si>
  <si>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</si>
  <si>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</si>
  <si>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</si>
  <si>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</si>
  <si>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</si>
  <si>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</si>
  <si>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</si>
  <si>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</si>
  <si>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</si>
  <si>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</si>
  <si>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</si>
  <si>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</si>
  <si>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</si>
  <si>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</si>
  <si>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</si>
  <si>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</si>
  <si>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</si>
  <si>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</si>
  <si>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</si>
  <si>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</si>
  <si>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</si>
  <si>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</si>
  <si>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</si>
  <si>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</si>
  <si>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</si>
  <si>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</si>
  <si>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</si>
  <si>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</si>
  <si>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</si>
  <si>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</si>
  <si>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</si>
  <si>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</si>
  <si>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</si>
  <si>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</si>
  <si>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</si>
  <si>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</si>
  <si>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</si>
  <si>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</si>
  <si>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</si>
  <si>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</si>
  <si>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</si>
  <si>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</si>
  <si>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</si>
  <si>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</si>
  <si>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</si>
  <si>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Timestamp</t>
  </si>
  <si>
    <t>Descriptive Statistics Summary</t>
  </si>
  <si>
    <t>Statistics</t>
  </si>
  <si>
    <t>Count</t>
  </si>
  <si>
    <t>Mean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</si>
  <si>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</si>
  <si>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</si>
  <si>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</si>
  <si>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</si>
  <si>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</si>
  <si>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</si>
  <si>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</si>
  <si>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</si>
  <si>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</si>
  <si>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</si>
  <si>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Linear Regression Summary (Profit vs Sales)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</si>
  <si>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</si>
  <si>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</si>
  <si>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</si>
  <si>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</si>
  <si>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</si>
  <si>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</si>
  <si>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</si>
  <si>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</si>
  <si>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</si>
  <si>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</si>
  <si>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</si>
  <si>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</si>
  <si>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</si>
  <si>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</si>
  <si>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</si>
  <si>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</si>
  <si>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</si>
  <si>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</si>
  <si>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</si>
  <si>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</si>
  <si>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</si>
  <si>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</si>
  <si>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</si>
  <si>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</si>
  <si>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Row Labels</t>
  </si>
  <si>
    <t>Grand Total</t>
  </si>
  <si>
    <t>Column Labels</t>
  </si>
  <si>
    <t>Sum of Sales</t>
  </si>
  <si>
    <t>Pivot Table: Total Sales by Region and Product Category</t>
  </si>
  <si>
    <t>What-if Analysis: Discount Rate vs Total Profit Impact</t>
  </si>
  <si>
    <t>Discount Rate</t>
  </si>
  <si>
    <t>Projected Total Profit</t>
  </si>
  <si>
    <t>Executive Summary Dashboard</t>
  </si>
  <si>
    <t>Key Performance Indicators (KPIs)</t>
  </si>
  <si>
    <t>Total Sales</t>
  </si>
  <si>
    <t>Top Customer Spotlight</t>
  </si>
  <si>
    <t>Customer Name</t>
  </si>
  <si>
    <t>Total Purchases</t>
  </si>
  <si>
    <t>Order Count</t>
  </si>
  <si>
    <t>Primary Region</t>
  </si>
  <si>
    <t>James Wilson (CUST015)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</si>
</sst>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&quot;₹&quot;\ 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lok Malaviya" refreshedDate="46302.859130671299" createdVersion="8" refreshedVersion="8" minRefreshableVersion="3" recordCount="200" xr:uid="{44DA97D7-43EA-47B1-9FA1-FB3C8F7F94CB}">
  <cacheSource type="worksheet">
    <worksheetSource ref="A1:J201" sheet="Dataset"/>
  </cacheSource>
  <cacheFields count="10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Profit" numFmtId="0">
      <sharedItems containsSemiMixedTypes="0" containsString="0" containsNumber="1" minValue="64.63" maxValue="769.46"/>
    </cacheField>
    <cacheField name="Order_Date" numFmtId="14">
      <sharedItems containsSemiMixedTypes="0" containsNonDate="0" containsDate="1" containsString="0" minDate="2024-04-10T00:00:00" maxDate="2025-04-08T00:00:00"/>
    </cacheField>
    <cacheField name="Timestamp" numFmtId="14">
      <sharedItems containsSemiMixedTypes="0" containsNonDate="0" containsDate="1" containsString="0" minDate="2026-10-07T17:39:39" maxDate="2026-10-07T17:39: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n v="331.55"/>
    <d v="2024-04-10T00:00:00"/>
    <d v="2026-10-07T17:39:39"/>
  </r>
  <r>
    <s v="CUST012"/>
    <s v="Robert Anderson"/>
    <x v="0"/>
    <x v="1"/>
    <n v="1101.28"/>
    <n v="3"/>
    <n v="0.2"/>
    <n v="440.51"/>
    <d v="2024-04-11T00:00:00"/>
    <d v="2026-10-07T17:39:39"/>
  </r>
  <r>
    <s v="CUST017"/>
    <s v="James Taylor"/>
    <x v="1"/>
    <x v="0"/>
    <n v="713.34"/>
    <n v="17"/>
    <n v="0"/>
    <n v="285.33999999999997"/>
    <d v="2024-04-14T00:00:00"/>
    <d v="2026-10-07T17:39:39"/>
  </r>
  <r>
    <s v="CUST005"/>
    <s v="Robert Anderson"/>
    <x v="2"/>
    <x v="2"/>
    <n v="760.93"/>
    <n v="4"/>
    <n v="0.15"/>
    <n v="161.69999999999999"/>
    <d v="2024-04-14T00:00:00"/>
    <d v="2026-10-07T17:39:39"/>
  </r>
  <r>
    <s v="CUST030"/>
    <s v="James Wilson"/>
    <x v="3"/>
    <x v="0"/>
    <n v="847"/>
    <n v="12"/>
    <n v="0.2"/>
    <n v="271.04000000000002"/>
    <d v="2024-04-15T00:00:00"/>
    <d v="2026-10-07T17:39:39"/>
  </r>
  <r>
    <s v="CUST007"/>
    <s v="Michael Anderson"/>
    <x v="3"/>
    <x v="3"/>
    <n v="965.64"/>
    <n v="8"/>
    <n v="0.1"/>
    <n v="304.18"/>
    <d v="2024-04-16T00:00:00"/>
    <d v="2026-10-07T17:39:39"/>
  </r>
  <r>
    <s v="CUST001"/>
    <s v="Linda Wilson"/>
    <x v="0"/>
    <x v="2"/>
    <n v="1317.53"/>
    <n v="12"/>
    <n v="0.05"/>
    <n v="312.91000000000003"/>
    <d v="2024-04-16T00:00:00"/>
    <d v="2026-10-07T17:39:39"/>
  </r>
  <r>
    <s v="CUST026"/>
    <s v="Mary Davis"/>
    <x v="1"/>
    <x v="3"/>
    <n v="1074.47"/>
    <n v="6"/>
    <n v="0.2"/>
    <n v="300.85000000000002"/>
    <d v="2024-04-19T00:00:00"/>
    <d v="2026-10-07T17:39:39"/>
  </r>
  <r>
    <s v="CUST009"/>
    <s v="Linda Jackson"/>
    <x v="4"/>
    <x v="0"/>
    <n v="501.54"/>
    <n v="11"/>
    <n v="0.05"/>
    <n v="190.59"/>
    <d v="2024-04-19T00:00:00"/>
    <d v="2026-10-07T17:39:39"/>
  </r>
  <r>
    <s v="CUST010"/>
    <s v="David Thomas"/>
    <x v="4"/>
    <x v="1"/>
    <n v="737.31"/>
    <n v="2"/>
    <n v="0.05"/>
    <n v="350.22"/>
    <d v="2024-04-19T00:00:00"/>
    <d v="2026-10-07T17:39:39"/>
  </r>
  <r>
    <s v="CUST014"/>
    <s v="Emma Davis"/>
    <x v="0"/>
    <x v="4"/>
    <n v="1572.82"/>
    <n v="6"/>
    <n v="0.05"/>
    <n v="672.38"/>
    <d v="2024-04-20T00:00:00"/>
    <d v="2026-10-07T17:39:39"/>
  </r>
  <r>
    <s v="CUST014"/>
    <s v="David Thomas"/>
    <x v="4"/>
    <x v="0"/>
    <n v="1343.13"/>
    <n v="14"/>
    <n v="0.15"/>
    <n v="456.66"/>
    <d v="2024-04-22T00:00:00"/>
    <d v="2026-10-07T17:39:39"/>
  </r>
  <r>
    <s v="CUST007"/>
    <s v="Michael Anderson"/>
    <x v="4"/>
    <x v="0"/>
    <n v="1191.58"/>
    <n v="14"/>
    <n v="0.05"/>
    <n v="452.8"/>
    <d v="2024-04-24T00:00:00"/>
    <d v="2026-10-07T17:39:39"/>
  </r>
  <r>
    <s v="CUST023"/>
    <s v="Robert Anderson"/>
    <x v="0"/>
    <x v="3"/>
    <n v="822.28"/>
    <n v="7"/>
    <n v="0.05"/>
    <n v="273.41000000000003"/>
    <d v="2024-04-24T00:00:00"/>
    <d v="2026-10-07T17:39:39"/>
  </r>
  <r>
    <s v="CUST029"/>
    <s v="David Smith"/>
    <x v="3"/>
    <x v="3"/>
    <n v="521.66999999999996"/>
    <n v="15"/>
    <n v="0.15"/>
    <n v="155.19999999999999"/>
    <d v="2024-04-27T00:00:00"/>
    <d v="2026-10-07T17:39:39"/>
  </r>
  <r>
    <s v="CUST005"/>
    <s v="Sarah Anderson"/>
    <x v="2"/>
    <x v="2"/>
    <n v="1502.93"/>
    <n v="14"/>
    <n v="0.2"/>
    <n v="300.58999999999997"/>
    <d v="2024-04-28T00:00:00"/>
    <d v="2026-10-07T17:39:39"/>
  </r>
  <r>
    <s v="CUST008"/>
    <s v="Robert Anderson"/>
    <x v="2"/>
    <x v="0"/>
    <n v="877.58"/>
    <n v="10"/>
    <n v="0.15"/>
    <n v="298.38"/>
    <d v="2024-04-29T00:00:00"/>
    <d v="2026-10-07T17:39:39"/>
  </r>
  <r>
    <s v="CUST001"/>
    <s v="Lisa Thomas"/>
    <x v="0"/>
    <x v="0"/>
    <n v="636.70000000000005"/>
    <n v="4"/>
    <n v="0.2"/>
    <n v="203.74"/>
    <d v="2024-04-29T00:00:00"/>
    <d v="2026-10-07T17:39:39"/>
  </r>
  <r>
    <s v="CUST006"/>
    <s v="Mary Jackson"/>
    <x v="0"/>
    <x v="0"/>
    <n v="1506.14"/>
    <n v="13"/>
    <n v="0.2"/>
    <n v="481.96"/>
    <d v="2024-04-30T00:00:00"/>
    <d v="2026-10-07T17:39:39"/>
  </r>
  <r>
    <s v="CUST026"/>
    <s v="Mary Davis"/>
    <x v="4"/>
    <x v="2"/>
    <n v="645.02"/>
    <n v="4"/>
    <n v="0"/>
    <n v="161.26"/>
    <d v="2024-05-02T00:00:00"/>
    <d v="2026-10-07T17:39:39"/>
  </r>
  <r>
    <s v="CUST007"/>
    <s v="Lisa Davis"/>
    <x v="2"/>
    <x v="1"/>
    <n v="953.3"/>
    <n v="11"/>
    <n v="0"/>
    <n v="476.65"/>
    <d v="2024-05-03T00:00:00"/>
    <d v="2026-10-07T17:39:39"/>
  </r>
  <r>
    <s v="CUST022"/>
    <s v="Robert Anderson"/>
    <x v="3"/>
    <x v="2"/>
    <n v="388.56"/>
    <n v="14"/>
    <n v="0.15"/>
    <n v="82.57"/>
    <d v="2024-05-04T00:00:00"/>
    <d v="2026-10-07T17:39:39"/>
  </r>
  <r>
    <s v="CUST019"/>
    <s v="Mary Davis"/>
    <x v="0"/>
    <x v="0"/>
    <n v="743.17"/>
    <n v="9"/>
    <n v="0"/>
    <n v="297.27"/>
    <d v="2024-05-04T00:00:00"/>
    <d v="2026-10-07T17:39:39"/>
  </r>
  <r>
    <s v="CUST023"/>
    <s v="Mary Davis"/>
    <x v="4"/>
    <x v="2"/>
    <n v="706.37"/>
    <n v="6"/>
    <n v="0"/>
    <n v="176.59"/>
    <d v="2024-05-04T00:00:00"/>
    <d v="2026-10-07T17:39:39"/>
  </r>
  <r>
    <s v="CUST012"/>
    <s v="Mary Davis"/>
    <x v="4"/>
    <x v="4"/>
    <n v="925.31"/>
    <n v="8"/>
    <n v="0.1"/>
    <n v="374.75"/>
    <d v="2024-05-06T00:00:00"/>
    <d v="2026-10-07T17:39:39"/>
  </r>
  <r>
    <s v="CUST010"/>
    <s v="Linda Brown"/>
    <x v="2"/>
    <x v="2"/>
    <n v="1173.1199999999999"/>
    <n v="18"/>
    <n v="0"/>
    <n v="293.27999999999997"/>
    <d v="2024-05-06T00:00:00"/>
    <d v="2026-10-07T17:39:39"/>
  </r>
  <r>
    <s v="CUST030"/>
    <s v="John Brown"/>
    <x v="3"/>
    <x v="3"/>
    <n v="675.54"/>
    <n v="17"/>
    <n v="0"/>
    <n v="236.44"/>
    <d v="2024-05-08T00:00:00"/>
    <d v="2026-10-07T17:39:39"/>
  </r>
  <r>
    <s v="CUST007"/>
    <s v="Robert Anderson"/>
    <x v="4"/>
    <x v="0"/>
    <n v="939.09"/>
    <n v="2"/>
    <n v="0.05"/>
    <n v="356.85"/>
    <d v="2024-05-10T00:00:00"/>
    <d v="2026-10-07T17:39:39"/>
  </r>
  <r>
    <s v="CUST028"/>
    <s v="Linda Taylor"/>
    <x v="1"/>
    <x v="4"/>
    <n v="983.34"/>
    <n v="19"/>
    <n v="0.1"/>
    <n v="398.25"/>
    <d v="2024-05-14T00:00:00"/>
    <d v="2026-10-07T17:39:39"/>
  </r>
  <r>
    <s v="CUST028"/>
    <s v="James Wilson"/>
    <x v="2"/>
    <x v="2"/>
    <n v="801.21"/>
    <n v="3"/>
    <n v="0.2"/>
    <n v="160.24"/>
    <d v="2024-05-14T00:00:00"/>
    <d v="2026-10-07T17:39:39"/>
  </r>
  <r>
    <s v="CUST025"/>
    <s v="David Brown"/>
    <x v="3"/>
    <x v="2"/>
    <n v="1450.71"/>
    <n v="5"/>
    <n v="0.1"/>
    <n v="326.41000000000003"/>
    <d v="2024-05-15T00:00:00"/>
    <d v="2026-10-07T17:39:39"/>
  </r>
  <r>
    <s v="CUST022"/>
    <s v="David Davis"/>
    <x v="4"/>
    <x v="0"/>
    <n v="1023.21"/>
    <n v="18"/>
    <n v="0.05"/>
    <n v="388.82"/>
    <d v="2024-05-16T00:00:00"/>
    <d v="2026-10-07T17:39:39"/>
  </r>
  <r>
    <s v="CUST001"/>
    <s v="Mary Jackson"/>
    <x v="0"/>
    <x v="3"/>
    <n v="853.72"/>
    <n v="5"/>
    <n v="0.15"/>
    <n v="253.98"/>
    <d v="2024-05-16T00:00:00"/>
    <d v="2026-10-07T17:39:39"/>
  </r>
  <r>
    <s v="CUST021"/>
    <s v="Sarah Anderson"/>
    <x v="2"/>
    <x v="2"/>
    <n v="967.89"/>
    <n v="10"/>
    <n v="0.1"/>
    <n v="217.78"/>
    <d v="2024-05-17T00:00:00"/>
    <d v="2026-10-07T17:39:39"/>
  </r>
  <r>
    <s v="CUST015"/>
    <s v="Linda Taylor"/>
    <x v="3"/>
    <x v="4"/>
    <n v="1200.9000000000001"/>
    <n v="14"/>
    <n v="0.05"/>
    <n v="513.38"/>
    <d v="2024-05-17T00:00:00"/>
    <d v="2026-10-07T17:39:39"/>
  </r>
  <r>
    <s v="CUST012"/>
    <s v="Michael Anderson"/>
    <x v="0"/>
    <x v="0"/>
    <n v="472.38"/>
    <n v="12"/>
    <n v="0.2"/>
    <n v="151.16"/>
    <d v="2024-05-17T00:00:00"/>
    <d v="2026-10-07T17:39:39"/>
  </r>
  <r>
    <s v="CUST019"/>
    <s v="David Brown"/>
    <x v="1"/>
    <x v="4"/>
    <n v="840.92"/>
    <n v="9"/>
    <n v="0.05"/>
    <n v="359.49"/>
    <d v="2024-05-17T00:00:00"/>
    <d v="2026-10-07T17:39:39"/>
  </r>
  <r>
    <s v="CUST028"/>
    <s v="Lisa Davis"/>
    <x v="4"/>
    <x v="3"/>
    <n v="1410.06"/>
    <n v="11"/>
    <n v="0.05"/>
    <n v="468.84"/>
    <d v="2024-05-22T00:00:00"/>
    <d v="2026-10-07T17:39:39"/>
  </r>
  <r>
    <s v="CUST008"/>
    <s v="Mary Wilson"/>
    <x v="4"/>
    <x v="3"/>
    <n v="773.09"/>
    <n v="13"/>
    <n v="0.15"/>
    <n v="229.99"/>
    <d v="2024-05-22T00:00:00"/>
    <d v="2026-10-07T17:39:39"/>
  </r>
  <r>
    <s v="CUST016"/>
    <s v="Emma Wilson"/>
    <x v="1"/>
    <x v="0"/>
    <n v="580.42999999999995"/>
    <n v="19"/>
    <n v="0.15"/>
    <n v="197.35"/>
    <d v="2024-05-23T00:00:00"/>
    <d v="2026-10-07T17:39:39"/>
  </r>
  <r>
    <s v="CUST005"/>
    <s v="David Smith"/>
    <x v="2"/>
    <x v="0"/>
    <n v="1151.21"/>
    <n v="15"/>
    <n v="0.1"/>
    <n v="414.44"/>
    <d v="2024-06-02T00:00:00"/>
    <d v="2026-10-07T17:39:39"/>
  </r>
  <r>
    <s v="CUST028"/>
    <s v="James Wilson"/>
    <x v="4"/>
    <x v="4"/>
    <n v="1025.98"/>
    <n v="5"/>
    <n v="0.2"/>
    <n v="369.35"/>
    <d v="2024-06-04T00:00:00"/>
    <d v="2026-10-07T17:39:39"/>
  </r>
  <r>
    <s v="CUST023"/>
    <s v="David Davis"/>
    <x v="1"/>
    <x v="4"/>
    <n v="556.41999999999996"/>
    <n v="11"/>
    <n v="0.15"/>
    <n v="212.83"/>
    <d v="2024-06-04T00:00:00"/>
    <d v="2026-10-07T17:39:39"/>
  </r>
  <r>
    <s v="CUST021"/>
    <s v="James Wilson"/>
    <x v="4"/>
    <x v="0"/>
    <n v="840.85"/>
    <n v="19"/>
    <n v="0.1"/>
    <n v="302.70999999999998"/>
    <d v="2024-06-05T00:00:00"/>
    <d v="2026-10-07T17:39:39"/>
  </r>
  <r>
    <s v="CUST026"/>
    <s v="Emma Wilson"/>
    <x v="3"/>
    <x v="3"/>
    <n v="1227.25"/>
    <n v="12"/>
    <n v="0.15"/>
    <n v="365.11"/>
    <d v="2024-06-05T00:00:00"/>
    <d v="2026-10-07T17:39:39"/>
  </r>
  <r>
    <s v="CUST017"/>
    <s v="Linda Davis"/>
    <x v="4"/>
    <x v="2"/>
    <n v="856.7"/>
    <n v="2"/>
    <n v="0"/>
    <n v="214.18"/>
    <d v="2024-06-06T00:00:00"/>
    <d v="2026-10-07T17:39:39"/>
  </r>
  <r>
    <s v="CUST025"/>
    <s v="David Davis"/>
    <x v="4"/>
    <x v="4"/>
    <n v="1225.42"/>
    <n v="8"/>
    <n v="0.15"/>
    <n v="468.72"/>
    <d v="2024-06-06T00:00:00"/>
    <d v="2026-10-07T17:39:39"/>
  </r>
  <r>
    <s v="CUST011"/>
    <s v="Mary Davis"/>
    <x v="3"/>
    <x v="4"/>
    <n v="1001.57"/>
    <n v="12"/>
    <n v="0"/>
    <n v="450.71"/>
    <d v="2024-06-07T00:00:00"/>
    <d v="2026-10-07T17:39:39"/>
  </r>
  <r>
    <s v="CUST021"/>
    <s v="Michael Anderson"/>
    <x v="1"/>
    <x v="3"/>
    <n v="1186.8499999999999"/>
    <n v="19"/>
    <n v="0.2"/>
    <n v="332.32"/>
    <d v="2024-06-08T00:00:00"/>
    <d v="2026-10-07T17:39:39"/>
  </r>
  <r>
    <s v="CUST008"/>
    <s v="John Brown"/>
    <x v="2"/>
    <x v="2"/>
    <n v="775.45"/>
    <n v="6"/>
    <n v="0.1"/>
    <n v="174.48"/>
    <d v="2024-06-14T00:00:00"/>
    <d v="2026-10-07T17:39:39"/>
  </r>
  <r>
    <s v="CUST007"/>
    <s v="Linda Jackson"/>
    <x v="2"/>
    <x v="2"/>
    <n v="1021.47"/>
    <n v="6"/>
    <n v="0.05"/>
    <n v="242.6"/>
    <d v="2024-06-18T00:00:00"/>
    <d v="2026-10-07T17:39:39"/>
  </r>
  <r>
    <s v="CUST015"/>
    <s v="James Wilson"/>
    <x v="2"/>
    <x v="1"/>
    <n v="1226.6199999999999"/>
    <n v="7"/>
    <n v="0.1"/>
    <n v="551.98"/>
    <d v="2024-06-20T00:00:00"/>
    <d v="2026-10-07T17:39:39"/>
  </r>
  <r>
    <s v="CUST030"/>
    <s v="Sarah Davis"/>
    <x v="2"/>
    <x v="3"/>
    <n v="1086.93"/>
    <n v="2"/>
    <n v="0"/>
    <n v="380.43"/>
    <d v="2024-06-21T00:00:00"/>
    <d v="2026-10-07T17:39:39"/>
  </r>
  <r>
    <s v="CUST002"/>
    <s v="Lisa Davis"/>
    <x v="0"/>
    <x v="0"/>
    <n v="942.9"/>
    <n v="18"/>
    <n v="0.1"/>
    <n v="339.44"/>
    <d v="2024-06-23T00:00:00"/>
    <d v="2026-10-07T17:39:39"/>
  </r>
  <r>
    <s v="CUST009"/>
    <s v="Emma Davis"/>
    <x v="3"/>
    <x v="2"/>
    <n v="818.8"/>
    <n v="15"/>
    <n v="0.15"/>
    <n v="173.99"/>
    <d v="2024-06-25T00:00:00"/>
    <d v="2026-10-07T17:39:39"/>
  </r>
  <r>
    <s v="CUST005"/>
    <s v="Robert Anderson"/>
    <x v="2"/>
    <x v="3"/>
    <n v="919.04"/>
    <n v="10"/>
    <n v="0.2"/>
    <n v="257.33"/>
    <d v="2024-06-25T00:00:00"/>
    <d v="2026-10-07T17:39:39"/>
  </r>
  <r>
    <s v="CUST030"/>
    <s v="Emma Taylor"/>
    <x v="4"/>
    <x v="0"/>
    <n v="973.26"/>
    <n v="11"/>
    <n v="0"/>
    <n v="389.3"/>
    <d v="2024-06-27T00:00:00"/>
    <d v="2026-10-07T17:39:39"/>
  </r>
  <r>
    <s v="CUST029"/>
    <s v="Sarah Davis"/>
    <x v="3"/>
    <x v="2"/>
    <n v="741.61"/>
    <n v="1"/>
    <n v="0.2"/>
    <n v="148.32"/>
    <d v="2024-06-28T00:00:00"/>
    <d v="2026-10-07T17:39:39"/>
  </r>
  <r>
    <s v="CUST003"/>
    <s v="Emma Davis"/>
    <x v="3"/>
    <x v="0"/>
    <n v="1248.82"/>
    <n v="2"/>
    <n v="0.1"/>
    <n v="449.58"/>
    <d v="2024-06-30T00:00:00"/>
    <d v="2026-10-07T17:39:39"/>
  </r>
  <r>
    <s v="CUST012"/>
    <s v="Mary Wilson"/>
    <x v="0"/>
    <x v="1"/>
    <n v="1360.36"/>
    <n v="17"/>
    <n v="0"/>
    <n v="680.18"/>
    <d v="2024-06-30T00:00:00"/>
    <d v="2026-10-07T17:39:39"/>
  </r>
  <r>
    <s v="CUST021"/>
    <s v="Mary Davis"/>
    <x v="1"/>
    <x v="0"/>
    <n v="1383.3"/>
    <n v="8"/>
    <n v="0.1"/>
    <n v="497.99"/>
    <d v="2024-07-05T00:00:00"/>
    <d v="2026-10-07T17:39:39"/>
  </r>
  <r>
    <s v="CUST010"/>
    <s v="David Brown"/>
    <x v="4"/>
    <x v="4"/>
    <n v="488.99"/>
    <n v="9"/>
    <n v="0"/>
    <n v="220.05"/>
    <d v="2024-07-06T00:00:00"/>
    <d v="2026-10-07T17:39:39"/>
  </r>
  <r>
    <s v="CUST026"/>
    <s v="Mary Davis"/>
    <x v="1"/>
    <x v="3"/>
    <n v="933.71"/>
    <n v="17"/>
    <n v="0.1"/>
    <n v="294.12"/>
    <d v="2024-07-08T00:00:00"/>
    <d v="2026-10-07T17:39:39"/>
  </r>
  <r>
    <s v="CUST003"/>
    <s v="James Davis"/>
    <x v="0"/>
    <x v="2"/>
    <n v="1005.53"/>
    <n v="17"/>
    <n v="0.2"/>
    <n v="201.11"/>
    <d v="2024-07-08T00:00:00"/>
    <d v="2026-10-07T17:39:39"/>
  </r>
  <r>
    <s v="CUST029"/>
    <s v="Emma Wilson"/>
    <x v="2"/>
    <x v="2"/>
    <n v="1100.0999999999999"/>
    <n v="5"/>
    <n v="0.05"/>
    <n v="261.27"/>
    <d v="2024-07-09T00:00:00"/>
    <d v="2026-10-07T17:39:39"/>
  </r>
  <r>
    <s v="CUST003"/>
    <s v="James Wilson"/>
    <x v="3"/>
    <x v="3"/>
    <n v="1034.7"/>
    <n v="15"/>
    <n v="0.15"/>
    <n v="307.82"/>
    <d v="2024-07-14T00:00:00"/>
    <d v="2026-10-07T17:39:39"/>
  </r>
  <r>
    <s v="CUST002"/>
    <s v="Mary Davis"/>
    <x v="2"/>
    <x v="0"/>
    <n v="876.44"/>
    <n v="12"/>
    <n v="0.05"/>
    <n v="333.05"/>
    <d v="2024-07-15T00:00:00"/>
    <d v="2026-10-07T17:39:39"/>
  </r>
  <r>
    <s v="CUST020"/>
    <s v="David Brown"/>
    <x v="0"/>
    <x v="3"/>
    <n v="1371.34"/>
    <n v="5"/>
    <n v="0.05"/>
    <n v="455.97"/>
    <d v="2024-07-15T00:00:00"/>
    <d v="2026-10-07T17:39:39"/>
  </r>
  <r>
    <s v="CUST021"/>
    <s v="Mary Jackson"/>
    <x v="3"/>
    <x v="2"/>
    <n v="1020.26"/>
    <n v="11"/>
    <n v="0.05"/>
    <n v="242.31"/>
    <d v="2024-07-21T00:00:00"/>
    <d v="2026-10-07T17:39:39"/>
  </r>
  <r>
    <s v="CUST008"/>
    <s v="James Davis"/>
    <x v="4"/>
    <x v="4"/>
    <n v="804.81"/>
    <n v="1"/>
    <n v="0.05"/>
    <n v="344.06"/>
    <d v="2024-07-29T00:00:00"/>
    <d v="2026-10-07T17:39:39"/>
  </r>
  <r>
    <s v="CUST030"/>
    <s v="David Brown"/>
    <x v="4"/>
    <x v="2"/>
    <n v="608.66"/>
    <n v="1"/>
    <n v="0.05"/>
    <n v="144.56"/>
    <d v="2024-07-30T00:00:00"/>
    <d v="2026-10-07T17:39:39"/>
  </r>
  <r>
    <s v="CUST020"/>
    <s v="Linda Moore"/>
    <x v="2"/>
    <x v="4"/>
    <n v="981.2"/>
    <n v="19"/>
    <n v="0"/>
    <n v="441.54"/>
    <d v="2024-07-31T00:00:00"/>
    <d v="2026-10-07T17:39:39"/>
  </r>
  <r>
    <s v="CUST024"/>
    <s v="David Brown"/>
    <x v="1"/>
    <x v="2"/>
    <n v="539.77"/>
    <n v="10"/>
    <n v="0.15"/>
    <n v="114.7"/>
    <d v="2024-08-05T00:00:00"/>
    <d v="2026-10-07T17:39:39"/>
  </r>
  <r>
    <s v="CUST012"/>
    <s v="David Anderson"/>
    <x v="2"/>
    <x v="0"/>
    <n v="804.45"/>
    <n v="5"/>
    <n v="0.2"/>
    <n v="257.42"/>
    <d v="2024-08-05T00:00:00"/>
    <d v="2026-10-07T17:39:39"/>
  </r>
  <r>
    <s v="CUST024"/>
    <s v="Emma Davis"/>
    <x v="0"/>
    <x v="2"/>
    <n v="1526.6"/>
    <n v="13"/>
    <n v="0.2"/>
    <n v="305.32"/>
    <d v="2024-08-08T00:00:00"/>
    <d v="2026-10-07T17:39:39"/>
  </r>
  <r>
    <s v="CUST012"/>
    <s v="Linda Wilson"/>
    <x v="0"/>
    <x v="2"/>
    <n v="1215.26"/>
    <n v="5"/>
    <n v="0.15"/>
    <n v="258.24"/>
    <d v="2024-08-09T00:00:00"/>
    <d v="2026-10-07T17:39:39"/>
  </r>
  <r>
    <s v="CUST005"/>
    <s v="Linda Taylor"/>
    <x v="4"/>
    <x v="3"/>
    <n v="1261.3399999999999"/>
    <n v="3"/>
    <n v="0"/>
    <n v="441.47"/>
    <d v="2024-08-15T00:00:00"/>
    <d v="2026-10-07T17:39:39"/>
  </r>
  <r>
    <s v="CUST004"/>
    <s v="Lisa Thomas"/>
    <x v="3"/>
    <x v="3"/>
    <n v="518.07000000000005"/>
    <n v="7"/>
    <n v="0.05"/>
    <n v="172.26"/>
    <d v="2024-08-18T00:00:00"/>
    <d v="2026-10-07T17:39:39"/>
  </r>
  <r>
    <s v="CUST026"/>
    <s v="Linda Wilson"/>
    <x v="0"/>
    <x v="4"/>
    <n v="1111.3399999999999"/>
    <n v="1"/>
    <n v="0"/>
    <n v="500.1"/>
    <d v="2024-08-19T00:00:00"/>
    <d v="2026-10-07T17:39:39"/>
  </r>
  <r>
    <s v="CUST030"/>
    <s v="Mary Davis"/>
    <x v="1"/>
    <x v="1"/>
    <n v="1291.47"/>
    <n v="18"/>
    <n v="0.1"/>
    <n v="581.16"/>
    <d v="2024-08-22T00:00:00"/>
    <d v="2026-10-07T17:39:39"/>
  </r>
  <r>
    <s v="CUST007"/>
    <s v="David Brown"/>
    <x v="3"/>
    <x v="0"/>
    <n v="679.71"/>
    <n v="19"/>
    <n v="0"/>
    <n v="271.88"/>
    <d v="2024-08-30T00:00:00"/>
    <d v="2026-10-07T17:39:39"/>
  </r>
  <r>
    <s v="CUST020"/>
    <s v="Linda Jackson"/>
    <x v="1"/>
    <x v="3"/>
    <n v="1143.69"/>
    <n v="17"/>
    <n v="0"/>
    <n v="400.29"/>
    <d v="2024-08-30T00:00:00"/>
    <d v="2026-10-07T17:39:39"/>
  </r>
  <r>
    <s v="CUST028"/>
    <s v="Linda Brown"/>
    <x v="4"/>
    <x v="2"/>
    <n v="790.08"/>
    <n v="7"/>
    <n v="0.1"/>
    <n v="177.77"/>
    <d v="2024-09-01T00:00:00"/>
    <d v="2026-10-07T17:39:39"/>
  </r>
  <r>
    <s v="CUST005"/>
    <s v="Lisa Davis"/>
    <x v="4"/>
    <x v="0"/>
    <n v="1070.68"/>
    <n v="7"/>
    <n v="0.05"/>
    <n v="406.86"/>
    <d v="2024-09-01T00:00:00"/>
    <d v="2026-10-07T17:39:39"/>
  </r>
  <r>
    <s v="CUST015"/>
    <s v="David Thomas"/>
    <x v="0"/>
    <x v="1"/>
    <n v="1168.8900000000001"/>
    <n v="4"/>
    <n v="0.1"/>
    <n v="526"/>
    <d v="2024-09-09T00:00:00"/>
    <d v="2026-10-07T17:39:39"/>
  </r>
  <r>
    <s v="CUST003"/>
    <s v="James Davis"/>
    <x v="2"/>
    <x v="2"/>
    <n v="1335.87"/>
    <n v="17"/>
    <n v="0"/>
    <n v="333.97"/>
    <d v="2024-09-09T00:00:00"/>
    <d v="2026-10-07T17:39:39"/>
  </r>
  <r>
    <s v="CUST023"/>
    <s v="David Brown"/>
    <x v="1"/>
    <x v="3"/>
    <n v="873.7"/>
    <n v="9"/>
    <n v="0"/>
    <n v="305.8"/>
    <d v="2024-09-11T00:00:00"/>
    <d v="2026-10-07T17:39:39"/>
  </r>
  <r>
    <s v="CUST004"/>
    <s v="Sarah Davis"/>
    <x v="0"/>
    <x v="4"/>
    <n v="1443.98"/>
    <n v="19"/>
    <n v="0"/>
    <n v="649.79"/>
    <d v="2024-09-12T00:00:00"/>
    <d v="2026-10-07T17:39:39"/>
  </r>
  <r>
    <s v="CUST023"/>
    <s v="James Wilson"/>
    <x v="1"/>
    <x v="4"/>
    <n v="1154.33"/>
    <n v="11"/>
    <n v="0.15"/>
    <n v="441.53"/>
    <d v="2024-09-14T00:00:00"/>
    <d v="2026-10-07T17:39:39"/>
  </r>
  <r>
    <s v="CUST022"/>
    <s v="Linda Brown"/>
    <x v="2"/>
    <x v="0"/>
    <n v="1264.49"/>
    <n v="16"/>
    <n v="0.05"/>
    <n v="480.51"/>
    <d v="2024-09-14T00:00:00"/>
    <d v="2026-10-07T17:39:39"/>
  </r>
  <r>
    <s v="CUST007"/>
    <s v="Emma Taylor"/>
    <x v="0"/>
    <x v="3"/>
    <n v="1101.55"/>
    <n v="4"/>
    <n v="0.1"/>
    <n v="346.99"/>
    <d v="2024-09-16T00:00:00"/>
    <d v="2026-10-07T17:39:39"/>
  </r>
  <r>
    <s v="CUST013"/>
    <s v="Robert Anderson"/>
    <x v="2"/>
    <x v="3"/>
    <n v="727.73"/>
    <n v="1"/>
    <n v="0.1"/>
    <n v="229.23"/>
    <d v="2024-09-17T00:00:00"/>
    <d v="2026-10-07T17:39:39"/>
  </r>
  <r>
    <s v="CUST027"/>
    <s v="Emma Davis"/>
    <x v="1"/>
    <x v="4"/>
    <n v="875.41"/>
    <n v="13"/>
    <n v="0.15"/>
    <n v="334.84"/>
    <d v="2024-09-17T00:00:00"/>
    <d v="2026-10-07T17:39:39"/>
  </r>
  <r>
    <s v="CUST003"/>
    <s v="James Wilson"/>
    <x v="0"/>
    <x v="2"/>
    <n v="1158.94"/>
    <n v="19"/>
    <n v="0.2"/>
    <n v="231.79"/>
    <d v="2024-09-18T00:00:00"/>
    <d v="2026-10-07T17:39:39"/>
  </r>
  <r>
    <s v="CUST018"/>
    <s v="Mary Jackson"/>
    <x v="2"/>
    <x v="0"/>
    <n v="966.3"/>
    <n v="2"/>
    <n v="0.15"/>
    <n v="328.54"/>
    <d v="2024-09-22T00:00:00"/>
    <d v="2026-10-07T17:39:39"/>
  </r>
  <r>
    <s v="CUST020"/>
    <s v="James Taylor"/>
    <x v="2"/>
    <x v="0"/>
    <n v="917.48"/>
    <n v="6"/>
    <n v="0"/>
    <n v="366.99"/>
    <d v="2024-09-23T00:00:00"/>
    <d v="2026-10-07T17:39:39"/>
  </r>
  <r>
    <s v="CUST029"/>
    <s v="Emma Wilson"/>
    <x v="0"/>
    <x v="3"/>
    <n v="1172.97"/>
    <n v="7"/>
    <n v="0.15"/>
    <n v="348.96"/>
    <d v="2024-09-24T00:00:00"/>
    <d v="2026-10-07T17:39:39"/>
  </r>
  <r>
    <s v="CUST021"/>
    <s v="James Wilson"/>
    <x v="3"/>
    <x v="1"/>
    <n v="1205.82"/>
    <n v="11"/>
    <n v="0.1"/>
    <n v="542.62"/>
    <d v="2024-09-24T00:00:00"/>
    <d v="2026-10-07T17:39:39"/>
  </r>
  <r>
    <s v="CUST017"/>
    <s v="Sarah Davis"/>
    <x v="0"/>
    <x v="4"/>
    <n v="826.93"/>
    <n v="10"/>
    <n v="0.2"/>
    <n v="297.69"/>
    <d v="2024-09-29T00:00:00"/>
    <d v="2026-10-07T17:39:39"/>
  </r>
  <r>
    <s v="CUST003"/>
    <s v="James Wilson"/>
    <x v="4"/>
    <x v="1"/>
    <n v="902.19"/>
    <n v="12"/>
    <n v="0"/>
    <n v="451.1"/>
    <d v="2024-09-29T00:00:00"/>
    <d v="2026-10-07T17:39:39"/>
  </r>
  <r>
    <s v="CUST027"/>
    <s v="Emma Davis"/>
    <x v="3"/>
    <x v="0"/>
    <n v="585.97"/>
    <n v="17"/>
    <n v="0.1"/>
    <n v="210.95"/>
    <d v="2024-09-30T00:00:00"/>
    <d v="2026-10-07T17:39:39"/>
  </r>
  <r>
    <s v="CUST016"/>
    <s v="Michael Anderson"/>
    <x v="3"/>
    <x v="1"/>
    <n v="990.19"/>
    <n v="8"/>
    <n v="0.1"/>
    <n v="445.59"/>
    <d v="2024-09-30T00:00:00"/>
    <d v="2026-10-07T17:39:39"/>
  </r>
  <r>
    <s v="CUST008"/>
    <s v="David Davis"/>
    <x v="4"/>
    <x v="2"/>
    <n v="1014.09"/>
    <n v="13"/>
    <n v="0.2"/>
    <n v="202.82"/>
    <d v="2024-10-02T00:00:00"/>
    <d v="2026-10-07T17:39:39"/>
  </r>
  <r>
    <s v="CUST012"/>
    <s v="Lisa Davis"/>
    <x v="3"/>
    <x v="2"/>
    <n v="925.29"/>
    <n v="17"/>
    <n v="0"/>
    <n v="231.32"/>
    <d v="2024-10-05T00:00:00"/>
    <d v="2026-10-07T17:39:39"/>
  </r>
  <r>
    <s v="CUST025"/>
    <s v="Mary Jackson"/>
    <x v="1"/>
    <x v="3"/>
    <n v="1286.54"/>
    <n v="8"/>
    <n v="0"/>
    <n v="450.29"/>
    <d v="2024-10-10T00:00:00"/>
    <d v="2026-10-07T17:39:39"/>
  </r>
  <r>
    <s v="CUST014"/>
    <s v="Sarah Davis"/>
    <x v="2"/>
    <x v="0"/>
    <n v="961.62"/>
    <n v="8"/>
    <n v="0.2"/>
    <n v="307.72000000000003"/>
    <d v="2024-10-12T00:00:00"/>
    <d v="2026-10-07T17:39:39"/>
  </r>
  <r>
    <s v="CUST008"/>
    <s v="James Wilson"/>
    <x v="1"/>
    <x v="0"/>
    <n v="1081.1400000000001"/>
    <n v="19"/>
    <n v="0.15"/>
    <n v="367.59"/>
    <d v="2024-10-12T00:00:00"/>
    <d v="2026-10-07T17:39:39"/>
  </r>
  <r>
    <s v="CUST015"/>
    <s v="James Wilson"/>
    <x v="0"/>
    <x v="1"/>
    <n v="1923.66"/>
    <n v="9"/>
    <n v="0.2"/>
    <n v="769.46"/>
    <d v="2024-10-15T00:00:00"/>
    <d v="2026-10-07T17:39:39"/>
  </r>
  <r>
    <s v="CUST025"/>
    <s v="Emma Taylor"/>
    <x v="4"/>
    <x v="1"/>
    <n v="728.71"/>
    <n v="14"/>
    <n v="0.1"/>
    <n v="327.92"/>
    <d v="2024-10-16T00:00:00"/>
    <d v="2026-10-07T17:39:39"/>
  </r>
  <r>
    <s v="CUST019"/>
    <s v="Linda Jackson"/>
    <x v="4"/>
    <x v="1"/>
    <n v="1301.8900000000001"/>
    <n v="7"/>
    <n v="0.15"/>
    <n v="553.29999999999995"/>
    <d v="2024-10-16T00:00:00"/>
    <d v="2026-10-07T17:39:39"/>
  </r>
  <r>
    <s v="CUST024"/>
    <s v="Emma Taylor"/>
    <x v="1"/>
    <x v="0"/>
    <n v="980.18"/>
    <n v="16"/>
    <n v="0.1"/>
    <n v="352.86"/>
    <d v="2024-10-17T00:00:00"/>
    <d v="2026-10-07T17:39:39"/>
  </r>
  <r>
    <s v="CUST027"/>
    <s v="James Wilson"/>
    <x v="0"/>
    <x v="1"/>
    <n v="697.57"/>
    <n v="17"/>
    <n v="0.1"/>
    <n v="313.91000000000003"/>
    <d v="2024-10-19T00:00:00"/>
    <d v="2026-10-07T17:39:39"/>
  </r>
  <r>
    <s v="CUST006"/>
    <s v="David Anderson"/>
    <x v="0"/>
    <x v="3"/>
    <n v="1193.6099999999999"/>
    <n v="1"/>
    <n v="0.15"/>
    <n v="355.1"/>
    <d v="2024-10-19T00:00:00"/>
    <d v="2026-10-07T17:39:39"/>
  </r>
  <r>
    <s v="CUST009"/>
    <s v="Emma Davis"/>
    <x v="2"/>
    <x v="2"/>
    <n v="771.02"/>
    <n v="1"/>
    <n v="0"/>
    <n v="192.76"/>
    <d v="2024-10-20T00:00:00"/>
    <d v="2026-10-07T17:39:39"/>
  </r>
  <r>
    <s v="CUST003"/>
    <s v="Linda Moore"/>
    <x v="3"/>
    <x v="1"/>
    <n v="661.09"/>
    <n v="1"/>
    <n v="0.2"/>
    <n v="264.44"/>
    <d v="2024-10-28T00:00:00"/>
    <d v="2026-10-07T17:39:39"/>
  </r>
  <r>
    <s v="CUST012"/>
    <s v="David Brown"/>
    <x v="0"/>
    <x v="2"/>
    <n v="688.83"/>
    <n v="15"/>
    <n v="0"/>
    <n v="172.21"/>
    <d v="2024-10-30T00:00:00"/>
    <d v="2026-10-07T17:39:39"/>
  </r>
  <r>
    <s v="CUST013"/>
    <s v="Linda Wilson"/>
    <x v="4"/>
    <x v="0"/>
    <n v="1249.0999999999999"/>
    <n v="4"/>
    <n v="0.05"/>
    <n v="474.66"/>
    <d v="2024-11-01T00:00:00"/>
    <d v="2026-10-07T17:39:39"/>
  </r>
  <r>
    <s v="CUST008"/>
    <s v="James Wilson"/>
    <x v="1"/>
    <x v="4"/>
    <n v="1014.22"/>
    <n v="14"/>
    <n v="0.05"/>
    <n v="433.58"/>
    <d v="2024-11-03T00:00:00"/>
    <d v="2026-10-07T17:39:39"/>
  </r>
  <r>
    <s v="CUST025"/>
    <s v="Lisa Davis"/>
    <x v="1"/>
    <x v="0"/>
    <n v="1010.58"/>
    <n v="2"/>
    <n v="0.15"/>
    <n v="343.6"/>
    <d v="2024-11-09T00:00:00"/>
    <d v="2026-10-07T17:39:39"/>
  </r>
  <r>
    <s v="CUST026"/>
    <s v="Mary Wilson"/>
    <x v="3"/>
    <x v="3"/>
    <n v="957.29"/>
    <n v="4"/>
    <n v="0.05"/>
    <n v="318.3"/>
    <d v="2024-11-09T00:00:00"/>
    <d v="2026-10-07T17:39:39"/>
  </r>
  <r>
    <s v="CUST001"/>
    <s v="Lisa Thomas"/>
    <x v="3"/>
    <x v="3"/>
    <n v="1077.92"/>
    <n v="3"/>
    <n v="0.05"/>
    <n v="358.41"/>
    <d v="2024-11-12T00:00:00"/>
    <d v="2026-10-07T17:39:39"/>
  </r>
  <r>
    <s v="CUST028"/>
    <s v="Linda Brown"/>
    <x v="2"/>
    <x v="1"/>
    <n v="1163.01"/>
    <n v="5"/>
    <n v="0"/>
    <n v="581.5"/>
    <d v="2024-11-15T00:00:00"/>
    <d v="2026-10-07T17:39:39"/>
  </r>
  <r>
    <s v="CUST025"/>
    <s v="Lisa Thomas"/>
    <x v="1"/>
    <x v="4"/>
    <n v="1014.56"/>
    <n v="10"/>
    <n v="0.1"/>
    <n v="410.9"/>
    <d v="2024-11-16T00:00:00"/>
    <d v="2026-10-07T17:39:39"/>
  </r>
  <r>
    <s v="CUST019"/>
    <s v="James Taylor"/>
    <x v="2"/>
    <x v="2"/>
    <n v="718.04"/>
    <n v="14"/>
    <n v="0"/>
    <n v="179.51"/>
    <d v="2024-11-17T00:00:00"/>
    <d v="2026-10-07T17:39:39"/>
  </r>
  <r>
    <s v="CUST004"/>
    <s v="James Taylor"/>
    <x v="4"/>
    <x v="1"/>
    <n v="1277.8499999999999"/>
    <n v="18"/>
    <n v="0.2"/>
    <n v="511.14"/>
    <d v="2024-11-17T00:00:00"/>
    <d v="2026-10-07T17:39:39"/>
  </r>
  <r>
    <s v="CUST024"/>
    <s v="James Wilson"/>
    <x v="3"/>
    <x v="2"/>
    <n v="706.73"/>
    <n v="1"/>
    <n v="0.15"/>
    <n v="150.18"/>
    <d v="2024-11-17T00:00:00"/>
    <d v="2026-10-07T17:39:39"/>
  </r>
  <r>
    <s v="CUST002"/>
    <s v="Linda Brown"/>
    <x v="1"/>
    <x v="2"/>
    <n v="1410.59"/>
    <n v="15"/>
    <n v="0"/>
    <n v="352.65"/>
    <d v="2024-11-19T00:00:00"/>
    <d v="2026-10-07T17:39:39"/>
  </r>
  <r>
    <s v="CUST009"/>
    <s v="Emma Wilson"/>
    <x v="2"/>
    <x v="3"/>
    <n v="1350.33"/>
    <n v="10"/>
    <n v="0"/>
    <n v="472.62"/>
    <d v="2024-11-19T00:00:00"/>
    <d v="2026-10-07T17:39:39"/>
  </r>
  <r>
    <s v="CUST029"/>
    <s v="Lisa Thomas"/>
    <x v="1"/>
    <x v="2"/>
    <n v="919.18"/>
    <n v="4"/>
    <n v="0.15"/>
    <n v="195.33"/>
    <d v="2024-11-19T00:00:00"/>
    <d v="2026-10-07T17:39:39"/>
  </r>
  <r>
    <s v="CUST027"/>
    <s v="James Wilson"/>
    <x v="0"/>
    <x v="2"/>
    <n v="258.51"/>
    <n v="19"/>
    <n v="0"/>
    <n v="64.63"/>
    <d v="2024-11-20T00:00:00"/>
    <d v="2026-10-07T17:39:39"/>
  </r>
  <r>
    <s v="CUST011"/>
    <s v="Emma Wilson"/>
    <x v="1"/>
    <x v="0"/>
    <n v="1213.48"/>
    <n v="5"/>
    <n v="0.05"/>
    <n v="461.12"/>
    <d v="2024-11-20T00:00:00"/>
    <d v="2026-10-07T17:39:39"/>
  </r>
  <r>
    <s v="CUST021"/>
    <s v="Emma Davis"/>
    <x v="4"/>
    <x v="0"/>
    <n v="1150.28"/>
    <n v="8"/>
    <n v="0.05"/>
    <n v="437.11"/>
    <d v="2024-11-26T00:00:00"/>
    <d v="2026-10-07T17:39:39"/>
  </r>
  <r>
    <s v="CUST014"/>
    <s v="David Anderson"/>
    <x v="2"/>
    <x v="3"/>
    <n v="853.86"/>
    <n v="8"/>
    <n v="0.1"/>
    <n v="268.97000000000003"/>
    <d v="2024-11-26T00:00:00"/>
    <d v="2026-10-07T17:39:39"/>
  </r>
  <r>
    <s v="CUST018"/>
    <s v="Lisa Thomas"/>
    <x v="2"/>
    <x v="2"/>
    <n v="1061.04"/>
    <n v="1"/>
    <n v="0"/>
    <n v="265.26"/>
    <d v="2024-11-28T00:00:00"/>
    <d v="2026-10-07T17:39:39"/>
  </r>
  <r>
    <s v="CUST001"/>
    <s v="Sarah Anderson"/>
    <x v="0"/>
    <x v="2"/>
    <n v="894.55"/>
    <n v="19"/>
    <n v="0.2"/>
    <n v="178.91"/>
    <d v="2024-11-29T00:00:00"/>
    <d v="2026-10-07T17:39:39"/>
  </r>
  <r>
    <s v="CUST007"/>
    <s v="Emma Davis"/>
    <x v="3"/>
    <x v="4"/>
    <n v="833.91"/>
    <n v="3"/>
    <n v="0.05"/>
    <n v="356.5"/>
    <d v="2024-11-30T00:00:00"/>
    <d v="2026-10-07T17:39:39"/>
  </r>
  <r>
    <s v="CUST015"/>
    <s v="David Anderson"/>
    <x v="0"/>
    <x v="3"/>
    <n v="820.19"/>
    <n v="4"/>
    <n v="0.2"/>
    <n v="229.65"/>
    <d v="2024-12-04T00:00:00"/>
    <d v="2026-10-07T17:39:39"/>
  </r>
  <r>
    <s v="CUST015"/>
    <s v="Emma Davis"/>
    <x v="4"/>
    <x v="2"/>
    <n v="511.74"/>
    <n v="8"/>
    <n v="0.05"/>
    <n v="121.54"/>
    <d v="2024-12-05T00:00:00"/>
    <d v="2026-10-07T17:39:39"/>
  </r>
  <r>
    <s v="CUST002"/>
    <s v="Emma Wilson"/>
    <x v="2"/>
    <x v="3"/>
    <n v="806.03"/>
    <n v="19"/>
    <n v="0.05"/>
    <n v="268"/>
    <d v="2024-12-12T00:00:00"/>
    <d v="2026-10-07T17:39:39"/>
  </r>
  <r>
    <s v="CUST001"/>
    <s v="Michael Anderson"/>
    <x v="4"/>
    <x v="3"/>
    <n v="1432.47"/>
    <n v="16"/>
    <n v="0.15"/>
    <n v="426.16"/>
    <d v="2024-12-14T00:00:00"/>
    <d v="2026-10-07T17:39:39"/>
  </r>
  <r>
    <s v="CUST027"/>
    <s v="Linda Wilson"/>
    <x v="4"/>
    <x v="2"/>
    <n v="1488.58"/>
    <n v="10"/>
    <n v="0.15"/>
    <n v="316.32"/>
    <d v="2024-12-14T00:00:00"/>
    <d v="2026-10-07T17:39:39"/>
  </r>
  <r>
    <s v="CUST026"/>
    <s v="Emma Taylor"/>
    <x v="1"/>
    <x v="0"/>
    <n v="1231.26"/>
    <n v="9"/>
    <n v="0"/>
    <n v="492.5"/>
    <d v="2024-12-20T00:00:00"/>
    <d v="2026-10-07T17:39:39"/>
  </r>
  <r>
    <s v="CUST026"/>
    <s v="Sarah Anderson"/>
    <x v="0"/>
    <x v="2"/>
    <n v="1161.67"/>
    <n v="19"/>
    <n v="0.2"/>
    <n v="232.33"/>
    <d v="2024-12-21T00:00:00"/>
    <d v="2026-10-07T17:39:39"/>
  </r>
  <r>
    <s v="CUST022"/>
    <s v="Lisa Thomas"/>
    <x v="4"/>
    <x v="4"/>
    <n v="388.23"/>
    <n v="16"/>
    <n v="0.05"/>
    <n v="165.97"/>
    <d v="2024-12-24T00:00:00"/>
    <d v="2026-10-07T17:39:39"/>
  </r>
  <r>
    <s v="CUST004"/>
    <s v="Mary Davis"/>
    <x v="3"/>
    <x v="1"/>
    <n v="1589.42"/>
    <n v="6"/>
    <n v="0.15"/>
    <n v="675.5"/>
    <d v="2024-12-25T00:00:00"/>
    <d v="2026-10-07T17:39:39"/>
  </r>
  <r>
    <s v="CUST001"/>
    <s v="David Anderson"/>
    <x v="3"/>
    <x v="1"/>
    <n v="336.66"/>
    <n v="13"/>
    <n v="0.2"/>
    <n v="134.66"/>
    <d v="2024-12-25T00:00:00"/>
    <d v="2026-10-07T17:39:39"/>
  </r>
  <r>
    <s v="CUST022"/>
    <s v="James Wilson"/>
    <x v="0"/>
    <x v="0"/>
    <n v="1353.79"/>
    <n v="14"/>
    <n v="0.1"/>
    <n v="487.36"/>
    <d v="2024-12-30T00:00:00"/>
    <d v="2026-10-07T17:39:39"/>
  </r>
  <r>
    <s v="CUST011"/>
    <s v="Linda Moore"/>
    <x v="4"/>
    <x v="1"/>
    <n v="662.61"/>
    <n v="11"/>
    <n v="0.05"/>
    <n v="314.74"/>
    <d v="2025-01-01T00:00:00"/>
    <d v="2026-10-07T17:39:39"/>
  </r>
  <r>
    <s v="CUST028"/>
    <s v="Lisa Davis"/>
    <x v="3"/>
    <x v="4"/>
    <n v="309.42"/>
    <n v="1"/>
    <n v="0.2"/>
    <n v="111.39"/>
    <d v="2025-01-01T00:00:00"/>
    <d v="2026-10-07T17:39:39"/>
  </r>
  <r>
    <s v="CUST011"/>
    <s v="Linda Wilson"/>
    <x v="3"/>
    <x v="0"/>
    <n v="884.63"/>
    <n v="18"/>
    <n v="0.1"/>
    <n v="318.47000000000003"/>
    <d v="2025-01-02T00:00:00"/>
    <d v="2026-10-07T17:39:39"/>
  </r>
  <r>
    <s v="CUST028"/>
    <s v="James Wilson"/>
    <x v="4"/>
    <x v="4"/>
    <n v="745.05"/>
    <n v="10"/>
    <n v="0.1"/>
    <n v="301.75"/>
    <d v="2025-01-03T00:00:00"/>
    <d v="2026-10-07T17:39:39"/>
  </r>
  <r>
    <s v="CUST016"/>
    <s v="James Taylor"/>
    <x v="2"/>
    <x v="1"/>
    <n v="870.23"/>
    <n v="5"/>
    <n v="0.05"/>
    <n v="413.36"/>
    <d v="2025-01-03T00:00:00"/>
    <d v="2026-10-07T17:39:39"/>
  </r>
  <r>
    <s v="CUST010"/>
    <s v="Linda Wilson"/>
    <x v="0"/>
    <x v="3"/>
    <n v="862.19"/>
    <n v="18"/>
    <n v="0.05"/>
    <n v="286.68"/>
    <d v="2025-01-06T00:00:00"/>
    <d v="2026-10-07T17:39:39"/>
  </r>
  <r>
    <s v="CUST013"/>
    <s v="Mary Wilson"/>
    <x v="3"/>
    <x v="1"/>
    <n v="1171.18"/>
    <n v="19"/>
    <n v="0.05"/>
    <n v="556.30999999999995"/>
    <d v="2025-01-10T00:00:00"/>
    <d v="2026-10-07T17:39:39"/>
  </r>
  <r>
    <s v="CUST015"/>
    <s v="Robert Anderson"/>
    <x v="2"/>
    <x v="3"/>
    <n v="1054.56"/>
    <n v="11"/>
    <n v="0.1"/>
    <n v="332.19"/>
    <d v="2025-01-12T00:00:00"/>
    <d v="2026-10-07T17:39:39"/>
  </r>
  <r>
    <s v="CUST015"/>
    <s v="James Wilson"/>
    <x v="3"/>
    <x v="2"/>
    <n v="1681.21"/>
    <n v="5"/>
    <n v="0.2"/>
    <n v="336.24"/>
    <d v="2025-01-13T00:00:00"/>
    <d v="2026-10-07T17:39:39"/>
  </r>
  <r>
    <s v="CUST015"/>
    <s v="David Thomas"/>
    <x v="0"/>
    <x v="1"/>
    <n v="379.77"/>
    <n v="9"/>
    <n v="0.05"/>
    <n v="180.39"/>
    <d v="2025-01-16T00:00:00"/>
    <d v="2026-10-07T17:39:39"/>
  </r>
  <r>
    <s v="CUST008"/>
    <s v="Lisa Thomas"/>
    <x v="4"/>
    <x v="1"/>
    <n v="1076.33"/>
    <n v="2"/>
    <n v="0.1"/>
    <n v="484.35"/>
    <d v="2025-01-17T00:00:00"/>
    <d v="2026-10-07T17:39:39"/>
  </r>
  <r>
    <s v="CUST008"/>
    <s v="Mary Davis"/>
    <x v="4"/>
    <x v="4"/>
    <n v="1250.71"/>
    <n v="7"/>
    <n v="0"/>
    <n v="562.82000000000005"/>
    <d v="2025-01-17T00:00:00"/>
    <d v="2026-10-07T17:39:39"/>
  </r>
  <r>
    <s v="CUST023"/>
    <s v="James Taylor"/>
    <x v="2"/>
    <x v="1"/>
    <n v="1118.3399999999999"/>
    <n v="6"/>
    <n v="0.2"/>
    <n v="447.34"/>
    <d v="2025-01-17T00:00:00"/>
    <d v="2026-10-07T17:39:39"/>
  </r>
  <r>
    <s v="CUST024"/>
    <s v="Linda Taylor"/>
    <x v="3"/>
    <x v="1"/>
    <n v="1622.62"/>
    <n v="12"/>
    <n v="0.2"/>
    <n v="649.04999999999995"/>
    <d v="2025-01-20T00:00:00"/>
    <d v="2026-10-07T17:39:39"/>
  </r>
  <r>
    <s v="CUST018"/>
    <s v="Lisa Davis"/>
    <x v="3"/>
    <x v="0"/>
    <n v="640.64"/>
    <n v="11"/>
    <n v="0.2"/>
    <n v="205"/>
    <d v="2025-01-21T00:00:00"/>
    <d v="2026-10-07T17:39:39"/>
  </r>
  <r>
    <s v="CUST030"/>
    <s v="Sarah Anderson"/>
    <x v="0"/>
    <x v="1"/>
    <n v="585.16"/>
    <n v="17"/>
    <n v="0.1"/>
    <n v="263.32"/>
    <d v="2025-01-27T00:00:00"/>
    <d v="2026-10-07T17:39:39"/>
  </r>
  <r>
    <s v="CUST030"/>
    <s v="Mary Davis"/>
    <x v="1"/>
    <x v="1"/>
    <n v="1109.98"/>
    <n v="5"/>
    <n v="0.2"/>
    <n v="443.99"/>
    <d v="2025-02-02T00:00:00"/>
    <d v="2026-10-07T17:39:39"/>
  </r>
  <r>
    <s v="CUST015"/>
    <s v="Lisa Thomas"/>
    <x v="1"/>
    <x v="0"/>
    <n v="1098.08"/>
    <n v="9"/>
    <n v="0.1"/>
    <n v="395.31"/>
    <d v="2025-02-04T00:00:00"/>
    <d v="2026-10-07T17:39:39"/>
  </r>
  <r>
    <s v="CUST002"/>
    <s v="Lisa Davis"/>
    <x v="0"/>
    <x v="4"/>
    <n v="827.25"/>
    <n v="7"/>
    <n v="0.1"/>
    <n v="335.04"/>
    <d v="2025-02-05T00:00:00"/>
    <d v="2026-10-07T17:39:39"/>
  </r>
  <r>
    <s v="CUST024"/>
    <s v="Linda Wilson"/>
    <x v="4"/>
    <x v="1"/>
    <n v="741.88"/>
    <n v="16"/>
    <n v="0.1"/>
    <n v="333.85"/>
    <d v="2025-02-07T00:00:00"/>
    <d v="2026-10-07T17:39:39"/>
  </r>
  <r>
    <s v="CUST004"/>
    <s v="James Davis"/>
    <x v="1"/>
    <x v="4"/>
    <n v="1311.26"/>
    <n v="6"/>
    <n v="0.1"/>
    <n v="531.05999999999995"/>
    <d v="2025-02-10T00:00:00"/>
    <d v="2026-10-07T17:39:39"/>
  </r>
  <r>
    <s v="CUST004"/>
    <s v="Mary Davis"/>
    <x v="2"/>
    <x v="4"/>
    <n v="573.32000000000005"/>
    <n v="19"/>
    <n v="0.1"/>
    <n v="232.19"/>
    <d v="2025-02-15T00:00:00"/>
    <d v="2026-10-07T17:39:39"/>
  </r>
  <r>
    <s v="CUST028"/>
    <s v="James Wilson"/>
    <x v="0"/>
    <x v="2"/>
    <n v="1115.22"/>
    <n v="14"/>
    <n v="0.2"/>
    <n v="223.04"/>
    <d v="2025-02-17T00:00:00"/>
    <d v="2026-10-07T17:39:39"/>
  </r>
  <r>
    <s v="CUST012"/>
    <s v="Lisa Thomas"/>
    <x v="3"/>
    <x v="1"/>
    <n v="845.84"/>
    <n v="4"/>
    <n v="0"/>
    <n v="422.92"/>
    <d v="2025-02-19T00:00:00"/>
    <d v="2026-10-07T17:39:39"/>
  </r>
  <r>
    <s v="CUST026"/>
    <s v="David Brown"/>
    <x v="0"/>
    <x v="2"/>
    <n v="1029.8"/>
    <n v="3"/>
    <n v="0"/>
    <n v="257.45"/>
    <d v="2025-02-20T00:00:00"/>
    <d v="2026-10-07T17:39:39"/>
  </r>
  <r>
    <s v="CUST009"/>
    <s v="Mary Davis"/>
    <x v="3"/>
    <x v="0"/>
    <n v="1189.83"/>
    <n v="2"/>
    <n v="0.2"/>
    <n v="380.75"/>
    <d v="2025-02-21T00:00:00"/>
    <d v="2026-10-07T17:39:39"/>
  </r>
  <r>
    <s v="CUST003"/>
    <s v="Sarah Anderson"/>
    <x v="2"/>
    <x v="0"/>
    <n v="704.28"/>
    <n v="15"/>
    <n v="0.2"/>
    <n v="225.37"/>
    <d v="2025-02-24T00:00:00"/>
    <d v="2026-10-07T17:39:39"/>
  </r>
  <r>
    <s v="CUST002"/>
    <s v="Mary Jackson"/>
    <x v="4"/>
    <x v="4"/>
    <n v="1618.22"/>
    <n v="12"/>
    <n v="0.2"/>
    <n v="582.55999999999995"/>
    <d v="2025-02-24T00:00:00"/>
    <d v="2026-10-07T17:39:39"/>
  </r>
  <r>
    <s v="CUST013"/>
    <s v="Linda Taylor"/>
    <x v="4"/>
    <x v="0"/>
    <n v="1014.43"/>
    <n v="2"/>
    <n v="0.15"/>
    <n v="344.91"/>
    <d v="2025-02-25T00:00:00"/>
    <d v="2026-10-07T17:39:39"/>
  </r>
  <r>
    <s v="CUST018"/>
    <s v="Mary Davis"/>
    <x v="4"/>
    <x v="1"/>
    <n v="826.97"/>
    <n v="18"/>
    <n v="0.2"/>
    <n v="330.79"/>
    <d v="2025-02-27T00:00:00"/>
    <d v="2026-10-07T17:39:39"/>
  </r>
  <r>
    <s v="CUST017"/>
    <s v="Mary Davis"/>
    <x v="4"/>
    <x v="1"/>
    <n v="1022.23"/>
    <n v="8"/>
    <n v="0.1"/>
    <n v="460"/>
    <d v="2025-03-01T00:00:00"/>
    <d v="2026-10-07T17:39:39"/>
  </r>
  <r>
    <s v="CUST004"/>
    <s v="Linda Wilson"/>
    <x v="1"/>
    <x v="0"/>
    <n v="1099.69"/>
    <n v="6"/>
    <n v="0"/>
    <n v="439.88"/>
    <d v="2025-03-02T00:00:00"/>
    <d v="2026-10-07T17:39:39"/>
  </r>
  <r>
    <s v="CUST028"/>
    <s v="Sarah Davis"/>
    <x v="3"/>
    <x v="0"/>
    <n v="710.52"/>
    <n v="8"/>
    <n v="0.1"/>
    <n v="255.79"/>
    <d v="2025-03-05T00:00:00"/>
    <d v="2026-10-07T17:39:39"/>
  </r>
  <r>
    <s v="CUST028"/>
    <s v="Mary Wilson"/>
    <x v="3"/>
    <x v="0"/>
    <n v="499.18"/>
    <n v="15"/>
    <n v="0.2"/>
    <n v="159.74"/>
    <d v="2025-03-08T00:00:00"/>
    <d v="2026-10-07T17:39:39"/>
  </r>
  <r>
    <s v="CUST014"/>
    <s v="Emma Davis"/>
    <x v="2"/>
    <x v="0"/>
    <n v="1064.19"/>
    <n v="18"/>
    <n v="0.05"/>
    <n v="404.39"/>
    <d v="2025-03-09T00:00:00"/>
    <d v="2026-10-07T17:39:39"/>
  </r>
  <r>
    <s v="CUST003"/>
    <s v="Emma Davis"/>
    <x v="1"/>
    <x v="4"/>
    <n v="438.76"/>
    <n v="18"/>
    <n v="0.05"/>
    <n v="187.57"/>
    <d v="2025-03-10T00:00:00"/>
    <d v="2026-10-07T17:39:39"/>
  </r>
  <r>
    <s v="CUST029"/>
    <s v="David Brown"/>
    <x v="0"/>
    <x v="1"/>
    <n v="864.98"/>
    <n v="2"/>
    <n v="0.05"/>
    <n v="410.87"/>
    <d v="2025-03-11T00:00:00"/>
    <d v="2026-10-07T17:39:39"/>
  </r>
  <r>
    <s v="CUST021"/>
    <s v="David Brown"/>
    <x v="0"/>
    <x v="3"/>
    <n v="984.93"/>
    <n v="14"/>
    <n v="0.2"/>
    <n v="275.77999999999997"/>
    <d v="2025-03-17T00:00:00"/>
    <d v="2026-10-07T17:39:39"/>
  </r>
  <r>
    <s v="CUST007"/>
    <s v="David Brown"/>
    <x v="0"/>
    <x v="1"/>
    <n v="1493.49"/>
    <n v="18"/>
    <n v="0"/>
    <n v="746.74"/>
    <d v="2025-03-18T00:00:00"/>
    <d v="2026-10-07T17:39:39"/>
  </r>
  <r>
    <s v="CUST009"/>
    <s v="Linda Taylor"/>
    <x v="2"/>
    <x v="1"/>
    <n v="689.43"/>
    <n v="9"/>
    <n v="0.1"/>
    <n v="310.24"/>
    <d v="2025-03-20T00:00:00"/>
    <d v="2026-10-07T17:39:39"/>
  </r>
  <r>
    <s v="CUST023"/>
    <s v="Mary Wilson"/>
    <x v="2"/>
    <x v="1"/>
    <n v="682.24"/>
    <n v="1"/>
    <n v="0"/>
    <n v="341.12"/>
    <d v="2025-03-22T00:00:00"/>
    <d v="2026-10-07T17:39:39"/>
  </r>
  <r>
    <s v="CUST029"/>
    <s v="Michael Anderson"/>
    <x v="3"/>
    <x v="2"/>
    <n v="458.54"/>
    <n v="15"/>
    <n v="0.2"/>
    <n v="91.71"/>
    <d v="2025-03-25T00:00:00"/>
    <d v="2026-10-07T17:39:39"/>
  </r>
  <r>
    <s v="CUST009"/>
    <s v="Michael Anderson"/>
    <x v="2"/>
    <x v="3"/>
    <n v="1184.25"/>
    <n v="11"/>
    <n v="0.2"/>
    <n v="331.59"/>
    <d v="2025-03-26T00:00:00"/>
    <d v="2026-10-07T17:39:39"/>
  </r>
  <r>
    <s v="CUST007"/>
    <s v="James Davis"/>
    <x v="2"/>
    <x v="1"/>
    <n v="762.14"/>
    <n v="9"/>
    <n v="0"/>
    <n v="381.07"/>
    <d v="2025-03-27T00:00:00"/>
    <d v="2026-10-07T17:39:39"/>
  </r>
  <r>
    <s v="CUST030"/>
    <s v="Linda Taylor"/>
    <x v="3"/>
    <x v="0"/>
    <n v="750.71"/>
    <n v="10"/>
    <n v="0.15"/>
    <n v="255.24"/>
    <d v="2025-03-27T00:00:00"/>
    <d v="2026-10-07T17:39:39"/>
  </r>
  <r>
    <s v="CUST018"/>
    <s v="David Anderson"/>
    <x v="4"/>
    <x v="1"/>
    <n v="1456.94"/>
    <n v="14"/>
    <n v="0.05"/>
    <n v="692.05"/>
    <d v="2025-03-29T00:00:00"/>
    <d v="2026-10-07T17:39:39"/>
  </r>
  <r>
    <s v="CUST008"/>
    <s v="Emma Wilson"/>
    <x v="1"/>
    <x v="3"/>
    <n v="1093.3800000000001"/>
    <n v="17"/>
    <n v="0.1"/>
    <n v="344.41"/>
    <d v="2025-03-29T00:00:00"/>
    <d v="2026-10-07T17:39:39"/>
  </r>
  <r>
    <s v="CUST014"/>
    <s v="Sarah Anderson"/>
    <x v="0"/>
    <x v="1"/>
    <n v="934.27"/>
    <n v="8"/>
    <n v="0.15"/>
    <n v="397.06"/>
    <d v="2025-03-30T00:00:00"/>
    <d v="2026-10-07T17:39:39"/>
  </r>
  <r>
    <s v="CUST024"/>
    <s v="David Thomas"/>
    <x v="4"/>
    <x v="1"/>
    <n v="1465.35"/>
    <n v="8"/>
    <n v="0.2"/>
    <n v="586.14"/>
    <d v="2025-03-30T00:00:00"/>
    <d v="2026-10-07T17:39:39"/>
  </r>
  <r>
    <s v="CUST028"/>
    <s v="Robert Anderson"/>
    <x v="2"/>
    <x v="4"/>
    <n v="740.8"/>
    <n v="3"/>
    <n v="0"/>
    <n v="333.36"/>
    <d v="2025-04-02T00:00:00"/>
    <d v="2026-10-07T17:39:39"/>
  </r>
  <r>
    <s v="CUST015"/>
    <s v="Sarah Anderson"/>
    <x v="0"/>
    <x v="4"/>
    <n v="545.44000000000005"/>
    <n v="17"/>
    <n v="0"/>
    <n v="245.45"/>
    <d v="2025-04-05T00:00:00"/>
    <d v="2026-10-07T17:39:39"/>
  </r>
  <r>
    <s v="CUST010"/>
    <s v="David Thomas"/>
    <x v="1"/>
    <x v="0"/>
    <n v="997.61"/>
    <n v="8"/>
    <n v="0.05"/>
    <n v="379.09"/>
    <d v="2025-04-05T00:00:00"/>
    <d v="2026-10-07T17:39:39"/>
  </r>
  <r>
    <s v="CUST016"/>
    <s v="David Thomas"/>
    <x v="2"/>
    <x v="1"/>
    <n v="928.32"/>
    <n v="2"/>
    <n v="0.05"/>
    <n v="440.95"/>
    <d v="2025-04-07T00:00:00"/>
    <d v="2026-10-07T17:39: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0D0AB-4B26-4461-A6A3-E3E3E51A557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/>
  <pivotFields count="10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numFmtId="14" showAll="0"/>
    <pivotField numFmtId="1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 numFmtId="165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4AA5-79DD-4B5A-874D-3B8FB0B1481A}">
  <dimension ref="A1:Z201"/>
  <sheetViews>
    <sheetView tabSelected="1" topLeftCell="A136" workbookViewId="0">
      <selection activeCell="D136" sqref="D136"/>
    </sheetView>
  </sheetViews>
  <sheetFormatPr defaultRowHeight="14.4"/>
  <cols>
    <col min="1" max="1" width="11.77734375" customWidth="1"/>
    <col min="2" max="2" width="16" customWidth="1"/>
    <col min="3" max="3" width="6.88671875" bestFit="1" customWidth="1"/>
    <col min="4" max="4" width="17.109375" customWidth="1"/>
    <col min="5" max="5" width="7.5546875" bestFit="1" customWidth="1"/>
    <col min="6" max="7" width="8.33203125" bestFit="1" customWidth="1"/>
    <col min="8" max="8" width="6.5546875" bestFit="1" customWidth="1"/>
    <col min="9" max="9" width="12.33203125" customWidth="1"/>
    <col min="10" max="10" width="12.6640625" customWidth="1"/>
  </cols>
  <sheetData>
    <row r="1" spans="1:26" ht="21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7</v>
      </c>
      <c r="J1" s="2" t="s">
        <v>76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>
      <c r="A2" s="3" t="s">
        <v>9</v>
      </c>
      <c r="B2" s="3" t="s">
        <v>10</v>
      </c>
      <c r="C2" s="3" t="s">
        <v>11</v>
      </c>
      <c r="D2" s="3" t="s">
        <v>12</v>
      </c>
      <c r="E2" s="3">
        <v>1036.0899999999999</v>
      </c>
      <c r="F2" s="3">
        <v>4</v>
      </c>
      <c r="G2" s="3">
        <v>0.2</v>
      </c>
      <c r="H2" s="3">
        <v>331.55</v>
      </c>
      <c r="I2" s="4">
        <v>45392</v>
      </c>
      <c r="J2" s="4">
        <f ca="1">NOW()</f>
        <v>46303.639034259257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>
      <c r="A3" s="3" t="s">
        <v>13</v>
      </c>
      <c r="B3" s="3" t="s">
        <v>14</v>
      </c>
      <c r="C3" s="3" t="s">
        <v>11</v>
      </c>
      <c r="D3" s="3" t="s">
        <v>15</v>
      </c>
      <c r="E3" s="3">
        <v>1101.28</v>
      </c>
      <c r="F3" s="3">
        <v>3</v>
      </c>
      <c r="G3" s="3">
        <v>0.2</v>
      </c>
      <c r="H3" s="3">
        <v>440.51</v>
      </c>
      <c r="I3" s="4">
        <v>45393</v>
      </c>
      <c r="J3" s="4">
        <f t="shared" ref="J3:J66" ca="1" si="0">NOW()</f>
        <v>46303.639034259257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>
      <c r="A4" s="3" t="s">
        <v>16</v>
      </c>
      <c r="B4" s="3" t="s">
        <v>17</v>
      </c>
      <c r="C4" s="3" t="s">
        <v>18</v>
      </c>
      <c r="D4" s="3" t="s">
        <v>12</v>
      </c>
      <c r="E4" s="3">
        <v>713.34</v>
      </c>
      <c r="F4" s="3">
        <v>17</v>
      </c>
      <c r="G4" s="3">
        <v>0</v>
      </c>
      <c r="H4" s="3">
        <v>285.33999999999997</v>
      </c>
      <c r="I4" s="4">
        <v>45396</v>
      </c>
      <c r="J4" s="4">
        <f t="shared" ca="1" si="0"/>
        <v>46303.639034259257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>
      <c r="A5" s="3" t="s">
        <v>19</v>
      </c>
      <c r="B5" s="3" t="s">
        <v>14</v>
      </c>
      <c r="C5" s="3" t="s">
        <v>20</v>
      </c>
      <c r="D5" s="3" t="s">
        <v>21</v>
      </c>
      <c r="E5" s="3">
        <v>760.93</v>
      </c>
      <c r="F5" s="3">
        <v>4</v>
      </c>
      <c r="G5" s="3">
        <v>0.15</v>
      </c>
      <c r="H5" s="3">
        <v>161.69999999999999</v>
      </c>
      <c r="I5" s="4">
        <v>45396</v>
      </c>
      <c r="J5" s="4">
        <f t="shared" ca="1" si="0"/>
        <v>46303.639034259257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>
      <c r="A6" s="3" t="s">
        <v>22</v>
      </c>
      <c r="B6" s="3" t="s">
        <v>23</v>
      </c>
      <c r="C6" s="3" t="s">
        <v>24</v>
      </c>
      <c r="D6" s="3" t="s">
        <v>12</v>
      </c>
      <c r="E6" s="3">
        <v>847</v>
      </c>
      <c r="F6" s="3">
        <v>12</v>
      </c>
      <c r="G6" s="3">
        <v>0.2</v>
      </c>
      <c r="H6" s="3">
        <v>271.04000000000002</v>
      </c>
      <c r="I6" s="4">
        <v>45397</v>
      </c>
      <c r="J6" s="4">
        <f t="shared" ca="1" si="0"/>
        <v>46303.639034259257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>
      <c r="A7" s="3" t="s">
        <v>25</v>
      </c>
      <c r="B7" s="3" t="s">
        <v>26</v>
      </c>
      <c r="C7" s="3" t="s">
        <v>24</v>
      </c>
      <c r="D7" s="3" t="s">
        <v>27</v>
      </c>
      <c r="E7" s="3">
        <v>965.64</v>
      </c>
      <c r="F7" s="3">
        <v>8</v>
      </c>
      <c r="G7" s="3">
        <v>0.1</v>
      </c>
      <c r="H7" s="3">
        <v>304.18</v>
      </c>
      <c r="I7" s="4">
        <v>45398</v>
      </c>
      <c r="J7" s="4">
        <f t="shared" ca="1" si="0"/>
        <v>46303.639034259257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>
      <c r="A8" s="3" t="s">
        <v>28</v>
      </c>
      <c r="B8" s="3" t="s">
        <v>29</v>
      </c>
      <c r="C8" s="3" t="s">
        <v>11</v>
      </c>
      <c r="D8" s="3" t="s">
        <v>21</v>
      </c>
      <c r="E8" s="3">
        <v>1317.53</v>
      </c>
      <c r="F8" s="3">
        <v>12</v>
      </c>
      <c r="G8" s="3">
        <v>0.05</v>
      </c>
      <c r="H8" s="3">
        <v>312.91000000000003</v>
      </c>
      <c r="I8" s="4">
        <v>45398</v>
      </c>
      <c r="J8" s="4">
        <f t="shared" ca="1" si="0"/>
        <v>46303.639034259257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>
      <c r="A9" s="3" t="s">
        <v>30</v>
      </c>
      <c r="B9" s="3" t="s">
        <v>31</v>
      </c>
      <c r="C9" s="3" t="s">
        <v>18</v>
      </c>
      <c r="D9" s="3" t="s">
        <v>27</v>
      </c>
      <c r="E9" s="3">
        <v>1074.47</v>
      </c>
      <c r="F9" s="3">
        <v>6</v>
      </c>
      <c r="G9" s="3">
        <v>0.2</v>
      </c>
      <c r="H9" s="3">
        <v>300.85000000000002</v>
      </c>
      <c r="I9" s="4">
        <v>45401</v>
      </c>
      <c r="J9" s="4">
        <f t="shared" ca="1" si="0"/>
        <v>46303.639034259257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>
      <c r="A10" s="3" t="s">
        <v>32</v>
      </c>
      <c r="B10" s="3" t="s">
        <v>33</v>
      </c>
      <c r="C10" s="3" t="s">
        <v>34</v>
      </c>
      <c r="D10" s="3" t="s">
        <v>12</v>
      </c>
      <c r="E10" s="3">
        <v>501.54</v>
      </c>
      <c r="F10" s="3">
        <v>11</v>
      </c>
      <c r="G10" s="3">
        <v>0.05</v>
      </c>
      <c r="H10" s="3">
        <v>190.59</v>
      </c>
      <c r="I10" s="4">
        <v>45401</v>
      </c>
      <c r="J10" s="4">
        <f t="shared" ca="1" si="0"/>
        <v>46303.639034259257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>
      <c r="A11" s="3" t="s">
        <v>35</v>
      </c>
      <c r="B11" s="3" t="s">
        <v>36</v>
      </c>
      <c r="C11" s="3" t="s">
        <v>34</v>
      </c>
      <c r="D11" s="3" t="s">
        <v>15</v>
      </c>
      <c r="E11" s="3">
        <v>737.31</v>
      </c>
      <c r="F11" s="3">
        <v>2</v>
      </c>
      <c r="G11" s="3">
        <v>0.05</v>
      </c>
      <c r="H11" s="3">
        <v>350.22</v>
      </c>
      <c r="I11" s="4">
        <v>45401</v>
      </c>
      <c r="J11" s="4">
        <f t="shared" ca="1" si="0"/>
        <v>46303.639034259257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>
      <c r="A12" s="3" t="s">
        <v>37</v>
      </c>
      <c r="B12" s="3" t="s">
        <v>38</v>
      </c>
      <c r="C12" s="3" t="s">
        <v>11</v>
      </c>
      <c r="D12" s="3" t="s">
        <v>39</v>
      </c>
      <c r="E12" s="3">
        <v>1572.82</v>
      </c>
      <c r="F12" s="3">
        <v>6</v>
      </c>
      <c r="G12" s="3">
        <v>0.05</v>
      </c>
      <c r="H12" s="3">
        <v>672.38</v>
      </c>
      <c r="I12" s="4">
        <v>45402</v>
      </c>
      <c r="J12" s="4">
        <f t="shared" ca="1" si="0"/>
        <v>46303.639034259257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>
      <c r="A13" s="3" t="s">
        <v>37</v>
      </c>
      <c r="B13" s="3" t="s">
        <v>36</v>
      </c>
      <c r="C13" s="3" t="s">
        <v>34</v>
      </c>
      <c r="D13" s="3" t="s">
        <v>12</v>
      </c>
      <c r="E13" s="3">
        <v>1343.13</v>
      </c>
      <c r="F13" s="3">
        <v>14</v>
      </c>
      <c r="G13" s="3">
        <v>0.15</v>
      </c>
      <c r="H13" s="3">
        <v>456.66</v>
      </c>
      <c r="I13" s="4">
        <v>45404</v>
      </c>
      <c r="J13" s="4">
        <f t="shared" ca="1" si="0"/>
        <v>46303.639034259257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>
      <c r="A14" s="3" t="s">
        <v>25</v>
      </c>
      <c r="B14" s="3" t="s">
        <v>26</v>
      </c>
      <c r="C14" s="3" t="s">
        <v>34</v>
      </c>
      <c r="D14" s="3" t="s">
        <v>12</v>
      </c>
      <c r="E14" s="3">
        <v>1191.58</v>
      </c>
      <c r="F14" s="3">
        <v>14</v>
      </c>
      <c r="G14" s="3">
        <v>0.05</v>
      </c>
      <c r="H14" s="3">
        <v>452.8</v>
      </c>
      <c r="I14" s="4">
        <v>45406</v>
      </c>
      <c r="J14" s="4">
        <f t="shared" ca="1" si="0"/>
        <v>46303.639034259257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>
      <c r="A15" s="3" t="s">
        <v>40</v>
      </c>
      <c r="B15" s="3" t="s">
        <v>14</v>
      </c>
      <c r="C15" s="3" t="s">
        <v>11</v>
      </c>
      <c r="D15" s="3" t="s">
        <v>27</v>
      </c>
      <c r="E15" s="3">
        <v>822.28</v>
      </c>
      <c r="F15" s="3">
        <v>7</v>
      </c>
      <c r="G15" s="3">
        <v>0.05</v>
      </c>
      <c r="H15" s="3">
        <v>273.41000000000003</v>
      </c>
      <c r="I15" s="4">
        <v>45406</v>
      </c>
      <c r="J15" s="4">
        <f t="shared" ca="1" si="0"/>
        <v>46303.639034259257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>
      <c r="A16" s="3" t="s">
        <v>41</v>
      </c>
      <c r="B16" s="3" t="s">
        <v>42</v>
      </c>
      <c r="C16" s="3" t="s">
        <v>24</v>
      </c>
      <c r="D16" s="3" t="s">
        <v>27</v>
      </c>
      <c r="E16" s="3">
        <v>521.66999999999996</v>
      </c>
      <c r="F16" s="3">
        <v>15</v>
      </c>
      <c r="G16" s="3">
        <v>0.15</v>
      </c>
      <c r="H16" s="3">
        <v>155.19999999999999</v>
      </c>
      <c r="I16" s="4">
        <v>45409</v>
      </c>
      <c r="J16" s="4">
        <f t="shared" ca="1" si="0"/>
        <v>46303.639034259257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>
      <c r="A17" s="3" t="s">
        <v>19</v>
      </c>
      <c r="B17" s="3" t="s">
        <v>43</v>
      </c>
      <c r="C17" s="3" t="s">
        <v>20</v>
      </c>
      <c r="D17" s="3" t="s">
        <v>21</v>
      </c>
      <c r="E17" s="3">
        <v>1502.93</v>
      </c>
      <c r="F17" s="3">
        <v>14</v>
      </c>
      <c r="G17" s="3">
        <v>0.2</v>
      </c>
      <c r="H17" s="3">
        <v>300.58999999999997</v>
      </c>
      <c r="I17" s="4">
        <v>45410</v>
      </c>
      <c r="J17" s="4">
        <f t="shared" ca="1" si="0"/>
        <v>46303.639034259257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>
      <c r="A18" s="3" t="s">
        <v>44</v>
      </c>
      <c r="B18" s="3" t="s">
        <v>14</v>
      </c>
      <c r="C18" s="3" t="s">
        <v>20</v>
      </c>
      <c r="D18" s="3" t="s">
        <v>12</v>
      </c>
      <c r="E18" s="3">
        <v>877.58</v>
      </c>
      <c r="F18" s="3">
        <v>10</v>
      </c>
      <c r="G18" s="3">
        <v>0.15</v>
      </c>
      <c r="H18" s="3">
        <v>298.38</v>
      </c>
      <c r="I18" s="4">
        <v>45411</v>
      </c>
      <c r="J18" s="4">
        <f t="shared" ca="1" si="0"/>
        <v>46303.639034259257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>
      <c r="A19" s="3" t="s">
        <v>28</v>
      </c>
      <c r="B19" s="3" t="s">
        <v>45</v>
      </c>
      <c r="C19" s="3" t="s">
        <v>11</v>
      </c>
      <c r="D19" s="3" t="s">
        <v>12</v>
      </c>
      <c r="E19" s="3">
        <v>636.70000000000005</v>
      </c>
      <c r="F19" s="3">
        <v>4</v>
      </c>
      <c r="G19" s="3">
        <v>0.2</v>
      </c>
      <c r="H19" s="3">
        <v>203.74</v>
      </c>
      <c r="I19" s="4">
        <v>45411</v>
      </c>
      <c r="J19" s="4">
        <f t="shared" ca="1" si="0"/>
        <v>46303.639034259257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>
      <c r="A20" s="3" t="s">
        <v>46</v>
      </c>
      <c r="B20" s="3" t="s">
        <v>47</v>
      </c>
      <c r="C20" s="3" t="s">
        <v>11</v>
      </c>
      <c r="D20" s="3" t="s">
        <v>12</v>
      </c>
      <c r="E20" s="3">
        <v>1506.14</v>
      </c>
      <c r="F20" s="3">
        <v>13</v>
      </c>
      <c r="G20" s="3">
        <v>0.2</v>
      </c>
      <c r="H20" s="3">
        <v>481.96</v>
      </c>
      <c r="I20" s="4">
        <v>45412</v>
      </c>
      <c r="J20" s="4">
        <f t="shared" ca="1" si="0"/>
        <v>46303.639034259257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>
      <c r="A21" s="3" t="s">
        <v>30</v>
      </c>
      <c r="B21" s="3" t="s">
        <v>31</v>
      </c>
      <c r="C21" s="3" t="s">
        <v>34</v>
      </c>
      <c r="D21" s="3" t="s">
        <v>21</v>
      </c>
      <c r="E21" s="3">
        <v>645.02</v>
      </c>
      <c r="F21" s="3">
        <v>4</v>
      </c>
      <c r="G21" s="3">
        <v>0</v>
      </c>
      <c r="H21" s="3">
        <v>161.26</v>
      </c>
      <c r="I21" s="4">
        <v>45414</v>
      </c>
      <c r="J21" s="4">
        <f t="shared" ca="1" si="0"/>
        <v>46303.639034259257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>
      <c r="A22" s="3" t="s">
        <v>25</v>
      </c>
      <c r="B22" s="3" t="s">
        <v>48</v>
      </c>
      <c r="C22" s="3" t="s">
        <v>20</v>
      </c>
      <c r="D22" s="3" t="s">
        <v>15</v>
      </c>
      <c r="E22" s="3">
        <v>953.3</v>
      </c>
      <c r="F22" s="3">
        <v>11</v>
      </c>
      <c r="G22" s="3">
        <v>0</v>
      </c>
      <c r="H22" s="3">
        <v>476.65</v>
      </c>
      <c r="I22" s="4">
        <v>45415</v>
      </c>
      <c r="J22" s="4">
        <f t="shared" ca="1" si="0"/>
        <v>46303.639034259257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>
      <c r="A23" s="3" t="s">
        <v>49</v>
      </c>
      <c r="B23" s="3" t="s">
        <v>14</v>
      </c>
      <c r="C23" s="3" t="s">
        <v>24</v>
      </c>
      <c r="D23" s="3" t="s">
        <v>21</v>
      </c>
      <c r="E23" s="3">
        <v>388.56</v>
      </c>
      <c r="F23" s="3">
        <v>14</v>
      </c>
      <c r="G23" s="3">
        <v>0.15</v>
      </c>
      <c r="H23" s="3">
        <v>82.57</v>
      </c>
      <c r="I23" s="4">
        <v>45416</v>
      </c>
      <c r="J23" s="4">
        <f t="shared" ca="1" si="0"/>
        <v>46303.639034259257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>
      <c r="A24" s="3" t="s">
        <v>9</v>
      </c>
      <c r="B24" s="3" t="s">
        <v>31</v>
      </c>
      <c r="C24" s="3" t="s">
        <v>11</v>
      </c>
      <c r="D24" s="3" t="s">
        <v>12</v>
      </c>
      <c r="E24" s="3">
        <v>743.17</v>
      </c>
      <c r="F24" s="3">
        <v>9</v>
      </c>
      <c r="G24" s="3">
        <v>0</v>
      </c>
      <c r="H24" s="3">
        <v>297.27</v>
      </c>
      <c r="I24" s="4">
        <v>45416</v>
      </c>
      <c r="J24" s="4">
        <f t="shared" ca="1" si="0"/>
        <v>46303.639034259257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>
      <c r="A25" s="3" t="s">
        <v>40</v>
      </c>
      <c r="B25" s="3" t="s">
        <v>31</v>
      </c>
      <c r="C25" s="3" t="s">
        <v>34</v>
      </c>
      <c r="D25" s="3" t="s">
        <v>21</v>
      </c>
      <c r="E25" s="3">
        <v>706.37</v>
      </c>
      <c r="F25" s="3">
        <v>6</v>
      </c>
      <c r="G25" s="3">
        <v>0</v>
      </c>
      <c r="H25" s="3">
        <v>176.59</v>
      </c>
      <c r="I25" s="4">
        <v>45416</v>
      </c>
      <c r="J25" s="4">
        <f t="shared" ca="1" si="0"/>
        <v>46303.639034259257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>
      <c r="A26" s="3" t="s">
        <v>13</v>
      </c>
      <c r="B26" s="3" t="s">
        <v>31</v>
      </c>
      <c r="C26" s="3" t="s">
        <v>34</v>
      </c>
      <c r="D26" s="3" t="s">
        <v>39</v>
      </c>
      <c r="E26" s="3">
        <v>925.31</v>
      </c>
      <c r="F26" s="3">
        <v>8</v>
      </c>
      <c r="G26" s="3">
        <v>0.1</v>
      </c>
      <c r="H26" s="3">
        <v>374.75</v>
      </c>
      <c r="I26" s="4">
        <v>45418</v>
      </c>
      <c r="J26" s="4">
        <f t="shared" ca="1" si="0"/>
        <v>46303.639034259257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>
      <c r="A27" s="3" t="s">
        <v>35</v>
      </c>
      <c r="B27" s="3" t="s">
        <v>50</v>
      </c>
      <c r="C27" s="3" t="s">
        <v>20</v>
      </c>
      <c r="D27" s="3" t="s">
        <v>21</v>
      </c>
      <c r="E27" s="3">
        <v>1173.1199999999999</v>
      </c>
      <c r="F27" s="3">
        <v>18</v>
      </c>
      <c r="G27" s="3">
        <v>0</v>
      </c>
      <c r="H27" s="3">
        <v>293.27999999999997</v>
      </c>
      <c r="I27" s="4">
        <v>45418</v>
      </c>
      <c r="J27" s="4">
        <f t="shared" ca="1" si="0"/>
        <v>46303.639034259257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>
      <c r="A28" s="3" t="s">
        <v>22</v>
      </c>
      <c r="B28" s="3" t="s">
        <v>51</v>
      </c>
      <c r="C28" s="3" t="s">
        <v>24</v>
      </c>
      <c r="D28" s="3" t="s">
        <v>27</v>
      </c>
      <c r="E28" s="3">
        <v>675.54</v>
      </c>
      <c r="F28" s="3">
        <v>17</v>
      </c>
      <c r="G28" s="3">
        <v>0</v>
      </c>
      <c r="H28" s="3">
        <v>236.44</v>
      </c>
      <c r="I28" s="4">
        <v>45420</v>
      </c>
      <c r="J28" s="4">
        <f t="shared" ca="1" si="0"/>
        <v>46303.639034259257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>
      <c r="A29" s="3" t="s">
        <v>25</v>
      </c>
      <c r="B29" s="3" t="s">
        <v>14</v>
      </c>
      <c r="C29" s="3" t="s">
        <v>34</v>
      </c>
      <c r="D29" s="3" t="s">
        <v>12</v>
      </c>
      <c r="E29" s="3">
        <v>939.09</v>
      </c>
      <c r="F29" s="3">
        <v>2</v>
      </c>
      <c r="G29" s="3">
        <v>0.05</v>
      </c>
      <c r="H29" s="3">
        <v>356.85</v>
      </c>
      <c r="I29" s="4">
        <v>45422</v>
      </c>
      <c r="J29" s="4">
        <f t="shared" ca="1" si="0"/>
        <v>46303.639034259257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>
      <c r="A30" s="3" t="s">
        <v>52</v>
      </c>
      <c r="B30" s="3" t="s">
        <v>53</v>
      </c>
      <c r="C30" s="3" t="s">
        <v>18</v>
      </c>
      <c r="D30" s="3" t="s">
        <v>39</v>
      </c>
      <c r="E30" s="3">
        <v>983.34</v>
      </c>
      <c r="F30" s="3">
        <v>19</v>
      </c>
      <c r="G30" s="3">
        <v>0.1</v>
      </c>
      <c r="H30" s="3">
        <v>398.25</v>
      </c>
      <c r="I30" s="4">
        <v>45426</v>
      </c>
      <c r="J30" s="4">
        <f t="shared" ca="1" si="0"/>
        <v>46303.639034259257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>
      <c r="A31" s="3" t="s">
        <v>52</v>
      </c>
      <c r="B31" s="3" t="s">
        <v>23</v>
      </c>
      <c r="C31" s="3" t="s">
        <v>20</v>
      </c>
      <c r="D31" s="3" t="s">
        <v>21</v>
      </c>
      <c r="E31" s="3">
        <v>801.21</v>
      </c>
      <c r="F31" s="3">
        <v>3</v>
      </c>
      <c r="G31" s="3">
        <v>0.2</v>
      </c>
      <c r="H31" s="3">
        <v>160.24</v>
      </c>
      <c r="I31" s="4">
        <v>45426</v>
      </c>
      <c r="J31" s="4">
        <f t="shared" ca="1" si="0"/>
        <v>46303.639034259257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>
      <c r="A32" s="3" t="s">
        <v>54</v>
      </c>
      <c r="B32" s="3" t="s">
        <v>55</v>
      </c>
      <c r="C32" s="3" t="s">
        <v>24</v>
      </c>
      <c r="D32" s="3" t="s">
        <v>21</v>
      </c>
      <c r="E32" s="3">
        <v>1450.71</v>
      </c>
      <c r="F32" s="3">
        <v>5</v>
      </c>
      <c r="G32" s="3">
        <v>0.1</v>
      </c>
      <c r="H32" s="3">
        <v>326.41000000000003</v>
      </c>
      <c r="I32" s="4">
        <v>45427</v>
      </c>
      <c r="J32" s="4">
        <f t="shared" ca="1" si="0"/>
        <v>46303.639034259257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>
      <c r="A33" s="3" t="s">
        <v>49</v>
      </c>
      <c r="B33" s="3" t="s">
        <v>56</v>
      </c>
      <c r="C33" s="3" t="s">
        <v>34</v>
      </c>
      <c r="D33" s="3" t="s">
        <v>12</v>
      </c>
      <c r="E33" s="3">
        <v>1023.21</v>
      </c>
      <c r="F33" s="3">
        <v>18</v>
      </c>
      <c r="G33" s="3">
        <v>0.05</v>
      </c>
      <c r="H33" s="3">
        <v>388.82</v>
      </c>
      <c r="I33" s="4">
        <v>45428</v>
      </c>
      <c r="J33" s="4">
        <f t="shared" ca="1" si="0"/>
        <v>46303.639034259257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>
      <c r="A34" s="3" t="s">
        <v>28</v>
      </c>
      <c r="B34" s="3" t="s">
        <v>47</v>
      </c>
      <c r="C34" s="3" t="s">
        <v>11</v>
      </c>
      <c r="D34" s="3" t="s">
        <v>27</v>
      </c>
      <c r="E34" s="3">
        <v>853.72</v>
      </c>
      <c r="F34" s="3">
        <v>5</v>
      </c>
      <c r="G34" s="3">
        <v>0.15</v>
      </c>
      <c r="H34" s="3">
        <v>253.98</v>
      </c>
      <c r="I34" s="4">
        <v>45428</v>
      </c>
      <c r="J34" s="4">
        <f t="shared" ca="1" si="0"/>
        <v>46303.639034259257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>
      <c r="A35" s="3" t="s">
        <v>57</v>
      </c>
      <c r="B35" s="3" t="s">
        <v>43</v>
      </c>
      <c r="C35" s="3" t="s">
        <v>20</v>
      </c>
      <c r="D35" s="3" t="s">
        <v>21</v>
      </c>
      <c r="E35" s="3">
        <v>967.89</v>
      </c>
      <c r="F35" s="3">
        <v>10</v>
      </c>
      <c r="G35" s="3">
        <v>0.1</v>
      </c>
      <c r="H35" s="3">
        <v>217.78</v>
      </c>
      <c r="I35" s="4">
        <v>45429</v>
      </c>
      <c r="J35" s="4">
        <f t="shared" ca="1" si="0"/>
        <v>46303.639034259257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>
      <c r="A36" s="3" t="s">
        <v>58</v>
      </c>
      <c r="B36" s="3" t="s">
        <v>53</v>
      </c>
      <c r="C36" s="3" t="s">
        <v>24</v>
      </c>
      <c r="D36" s="3" t="s">
        <v>39</v>
      </c>
      <c r="E36" s="3">
        <v>1200.9000000000001</v>
      </c>
      <c r="F36" s="3">
        <v>14</v>
      </c>
      <c r="G36" s="3">
        <v>0.05</v>
      </c>
      <c r="H36" s="3">
        <v>513.38</v>
      </c>
      <c r="I36" s="4">
        <v>45429</v>
      </c>
      <c r="J36" s="4">
        <f t="shared" ca="1" si="0"/>
        <v>46303.639034259257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>
      <c r="A37" s="3" t="s">
        <v>13</v>
      </c>
      <c r="B37" s="3" t="s">
        <v>26</v>
      </c>
      <c r="C37" s="3" t="s">
        <v>11</v>
      </c>
      <c r="D37" s="3" t="s">
        <v>12</v>
      </c>
      <c r="E37" s="3">
        <v>472.38</v>
      </c>
      <c r="F37" s="3">
        <v>12</v>
      </c>
      <c r="G37" s="3">
        <v>0.2</v>
      </c>
      <c r="H37" s="3">
        <v>151.16</v>
      </c>
      <c r="I37" s="4">
        <v>45429</v>
      </c>
      <c r="J37" s="4">
        <f t="shared" ca="1" si="0"/>
        <v>46303.639034259257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>
      <c r="A38" s="3" t="s">
        <v>9</v>
      </c>
      <c r="B38" s="3" t="s">
        <v>55</v>
      </c>
      <c r="C38" s="3" t="s">
        <v>18</v>
      </c>
      <c r="D38" s="3" t="s">
        <v>39</v>
      </c>
      <c r="E38" s="3">
        <v>840.92</v>
      </c>
      <c r="F38" s="3">
        <v>9</v>
      </c>
      <c r="G38" s="3">
        <v>0.05</v>
      </c>
      <c r="H38" s="3">
        <v>359.49</v>
      </c>
      <c r="I38" s="4">
        <v>45429</v>
      </c>
      <c r="J38" s="4">
        <f t="shared" ca="1" si="0"/>
        <v>46303.639034259257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>
      <c r="A39" s="3" t="s">
        <v>52</v>
      </c>
      <c r="B39" s="3" t="s">
        <v>48</v>
      </c>
      <c r="C39" s="3" t="s">
        <v>34</v>
      </c>
      <c r="D39" s="3" t="s">
        <v>27</v>
      </c>
      <c r="E39" s="3">
        <v>1410.06</v>
      </c>
      <c r="F39" s="3">
        <v>11</v>
      </c>
      <c r="G39" s="3">
        <v>0.05</v>
      </c>
      <c r="H39" s="3">
        <v>468.84</v>
      </c>
      <c r="I39" s="4">
        <v>45434</v>
      </c>
      <c r="J39" s="4">
        <f t="shared" ca="1" si="0"/>
        <v>46303.639034259257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>
      <c r="A40" s="3" t="s">
        <v>44</v>
      </c>
      <c r="B40" s="3" t="s">
        <v>59</v>
      </c>
      <c r="C40" s="3" t="s">
        <v>34</v>
      </c>
      <c r="D40" s="3" t="s">
        <v>27</v>
      </c>
      <c r="E40" s="3">
        <v>773.09</v>
      </c>
      <c r="F40" s="3">
        <v>13</v>
      </c>
      <c r="G40" s="3">
        <v>0.15</v>
      </c>
      <c r="H40" s="3">
        <v>229.99</v>
      </c>
      <c r="I40" s="4">
        <v>45434</v>
      </c>
      <c r="J40" s="4">
        <f t="shared" ca="1" si="0"/>
        <v>46303.639034259257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>
      <c r="A41" s="3" t="s">
        <v>60</v>
      </c>
      <c r="B41" s="3" t="s">
        <v>61</v>
      </c>
      <c r="C41" s="3" t="s">
        <v>18</v>
      </c>
      <c r="D41" s="3" t="s">
        <v>12</v>
      </c>
      <c r="E41" s="3">
        <v>580.42999999999995</v>
      </c>
      <c r="F41" s="3">
        <v>19</v>
      </c>
      <c r="G41" s="3">
        <v>0.15</v>
      </c>
      <c r="H41" s="3">
        <v>197.35</v>
      </c>
      <c r="I41" s="4">
        <v>45435</v>
      </c>
      <c r="J41" s="4">
        <f t="shared" ca="1" si="0"/>
        <v>46303.639034259257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>
      <c r="A42" s="3" t="s">
        <v>19</v>
      </c>
      <c r="B42" s="3" t="s">
        <v>42</v>
      </c>
      <c r="C42" s="3" t="s">
        <v>20</v>
      </c>
      <c r="D42" s="3" t="s">
        <v>12</v>
      </c>
      <c r="E42" s="3">
        <v>1151.21</v>
      </c>
      <c r="F42" s="3">
        <v>15</v>
      </c>
      <c r="G42" s="3">
        <v>0.1</v>
      </c>
      <c r="H42" s="3">
        <v>414.44</v>
      </c>
      <c r="I42" s="4">
        <v>45445</v>
      </c>
      <c r="J42" s="4">
        <f t="shared" ca="1" si="0"/>
        <v>46303.639034259257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>
      <c r="A43" s="3" t="s">
        <v>52</v>
      </c>
      <c r="B43" s="3" t="s">
        <v>23</v>
      </c>
      <c r="C43" s="3" t="s">
        <v>34</v>
      </c>
      <c r="D43" s="3" t="s">
        <v>39</v>
      </c>
      <c r="E43" s="3">
        <v>1025.98</v>
      </c>
      <c r="F43" s="3">
        <v>5</v>
      </c>
      <c r="G43" s="3">
        <v>0.2</v>
      </c>
      <c r="H43" s="3">
        <v>369.35</v>
      </c>
      <c r="I43" s="4">
        <v>45447</v>
      </c>
      <c r="J43" s="4">
        <f t="shared" ca="1" si="0"/>
        <v>46303.639034259257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>
      <c r="A44" s="3" t="s">
        <v>40</v>
      </c>
      <c r="B44" s="3" t="s">
        <v>56</v>
      </c>
      <c r="C44" s="3" t="s">
        <v>18</v>
      </c>
      <c r="D44" s="3" t="s">
        <v>39</v>
      </c>
      <c r="E44" s="3">
        <v>556.41999999999996</v>
      </c>
      <c r="F44" s="3">
        <v>11</v>
      </c>
      <c r="G44" s="3">
        <v>0.15</v>
      </c>
      <c r="H44" s="3">
        <v>212.83</v>
      </c>
      <c r="I44" s="4">
        <v>45447</v>
      </c>
      <c r="J44" s="4">
        <f t="shared" ca="1" si="0"/>
        <v>46303.639034259257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>
      <c r="A45" s="3" t="s">
        <v>57</v>
      </c>
      <c r="B45" s="3" t="s">
        <v>23</v>
      </c>
      <c r="C45" s="3" t="s">
        <v>34</v>
      </c>
      <c r="D45" s="3" t="s">
        <v>12</v>
      </c>
      <c r="E45" s="3">
        <v>840.85</v>
      </c>
      <c r="F45" s="3">
        <v>19</v>
      </c>
      <c r="G45" s="3">
        <v>0.1</v>
      </c>
      <c r="H45" s="3">
        <v>302.70999999999998</v>
      </c>
      <c r="I45" s="4">
        <v>45448</v>
      </c>
      <c r="J45" s="4">
        <f t="shared" ca="1" si="0"/>
        <v>46303.639034259257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>
      <c r="A46" s="3" t="s">
        <v>30</v>
      </c>
      <c r="B46" s="3" t="s">
        <v>61</v>
      </c>
      <c r="C46" s="3" t="s">
        <v>24</v>
      </c>
      <c r="D46" s="3" t="s">
        <v>27</v>
      </c>
      <c r="E46" s="3">
        <v>1227.25</v>
      </c>
      <c r="F46" s="3">
        <v>12</v>
      </c>
      <c r="G46" s="3">
        <v>0.15</v>
      </c>
      <c r="H46" s="3">
        <v>365.11</v>
      </c>
      <c r="I46" s="4">
        <v>45448</v>
      </c>
      <c r="J46" s="4">
        <f t="shared" ca="1" si="0"/>
        <v>46303.639034259257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>
      <c r="A47" s="3" t="s">
        <v>16</v>
      </c>
      <c r="B47" s="3" t="s">
        <v>62</v>
      </c>
      <c r="C47" s="3" t="s">
        <v>34</v>
      </c>
      <c r="D47" s="3" t="s">
        <v>21</v>
      </c>
      <c r="E47" s="3">
        <v>856.7</v>
      </c>
      <c r="F47" s="3">
        <v>2</v>
      </c>
      <c r="G47" s="3">
        <v>0</v>
      </c>
      <c r="H47" s="3">
        <v>214.18</v>
      </c>
      <c r="I47" s="4">
        <v>45449</v>
      </c>
      <c r="J47" s="4">
        <f t="shared" ca="1" si="0"/>
        <v>46303.639034259257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>
      <c r="A48" s="3" t="s">
        <v>54</v>
      </c>
      <c r="B48" s="3" t="s">
        <v>56</v>
      </c>
      <c r="C48" s="3" t="s">
        <v>34</v>
      </c>
      <c r="D48" s="3" t="s">
        <v>39</v>
      </c>
      <c r="E48" s="3">
        <v>1225.42</v>
      </c>
      <c r="F48" s="3">
        <v>8</v>
      </c>
      <c r="G48" s="3">
        <v>0.15</v>
      </c>
      <c r="H48" s="3">
        <v>468.72</v>
      </c>
      <c r="I48" s="4">
        <v>45449</v>
      </c>
      <c r="J48" s="4">
        <f t="shared" ca="1" si="0"/>
        <v>46303.639034259257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>
      <c r="A49" s="3" t="s">
        <v>63</v>
      </c>
      <c r="B49" s="3" t="s">
        <v>31</v>
      </c>
      <c r="C49" s="3" t="s">
        <v>24</v>
      </c>
      <c r="D49" s="3" t="s">
        <v>39</v>
      </c>
      <c r="E49" s="3">
        <v>1001.57</v>
      </c>
      <c r="F49" s="3">
        <v>12</v>
      </c>
      <c r="G49" s="3">
        <v>0</v>
      </c>
      <c r="H49" s="3">
        <v>450.71</v>
      </c>
      <c r="I49" s="4">
        <v>45450</v>
      </c>
      <c r="J49" s="4">
        <f t="shared" ca="1" si="0"/>
        <v>46303.639034259257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>
      <c r="A50" s="3" t="s">
        <v>57</v>
      </c>
      <c r="B50" s="3" t="s">
        <v>26</v>
      </c>
      <c r="C50" s="3" t="s">
        <v>18</v>
      </c>
      <c r="D50" s="3" t="s">
        <v>27</v>
      </c>
      <c r="E50" s="3">
        <v>1186.8499999999999</v>
      </c>
      <c r="F50" s="3">
        <v>19</v>
      </c>
      <c r="G50" s="3">
        <v>0.2</v>
      </c>
      <c r="H50" s="3">
        <v>332.32</v>
      </c>
      <c r="I50" s="4">
        <v>45451</v>
      </c>
      <c r="J50" s="4">
        <f t="shared" ca="1" si="0"/>
        <v>46303.639034259257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>
      <c r="A51" s="3" t="s">
        <v>44</v>
      </c>
      <c r="B51" s="3" t="s">
        <v>51</v>
      </c>
      <c r="C51" s="3" t="s">
        <v>20</v>
      </c>
      <c r="D51" s="3" t="s">
        <v>21</v>
      </c>
      <c r="E51" s="3">
        <v>775.45</v>
      </c>
      <c r="F51" s="3">
        <v>6</v>
      </c>
      <c r="G51" s="3">
        <v>0.1</v>
      </c>
      <c r="H51" s="3">
        <v>174.48</v>
      </c>
      <c r="I51" s="4">
        <v>45457</v>
      </c>
      <c r="J51" s="4">
        <f t="shared" ca="1" si="0"/>
        <v>46303.639034259257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>
      <c r="A52" s="3" t="s">
        <v>25</v>
      </c>
      <c r="B52" s="3" t="s">
        <v>33</v>
      </c>
      <c r="C52" s="3" t="s">
        <v>20</v>
      </c>
      <c r="D52" s="3" t="s">
        <v>21</v>
      </c>
      <c r="E52" s="3">
        <v>1021.47</v>
      </c>
      <c r="F52" s="3">
        <v>6</v>
      </c>
      <c r="G52" s="3">
        <v>0.05</v>
      </c>
      <c r="H52" s="3">
        <v>242.6</v>
      </c>
      <c r="I52" s="4">
        <v>45461</v>
      </c>
      <c r="J52" s="4">
        <f t="shared" ca="1" si="0"/>
        <v>46303.639034259257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>
      <c r="A53" s="3" t="s">
        <v>58</v>
      </c>
      <c r="B53" s="3" t="s">
        <v>23</v>
      </c>
      <c r="C53" s="3" t="s">
        <v>20</v>
      </c>
      <c r="D53" s="3" t="s">
        <v>15</v>
      </c>
      <c r="E53" s="3">
        <v>1226.6199999999999</v>
      </c>
      <c r="F53" s="3">
        <v>7</v>
      </c>
      <c r="G53" s="3">
        <v>0.1</v>
      </c>
      <c r="H53" s="3">
        <v>551.98</v>
      </c>
      <c r="I53" s="4">
        <v>45463</v>
      </c>
      <c r="J53" s="4">
        <f t="shared" ca="1" si="0"/>
        <v>46303.639034259257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>
      <c r="A54" s="3" t="s">
        <v>22</v>
      </c>
      <c r="B54" s="3" t="s">
        <v>64</v>
      </c>
      <c r="C54" s="3" t="s">
        <v>20</v>
      </c>
      <c r="D54" s="3" t="s">
        <v>27</v>
      </c>
      <c r="E54" s="3">
        <v>1086.93</v>
      </c>
      <c r="F54" s="3">
        <v>2</v>
      </c>
      <c r="G54" s="3">
        <v>0</v>
      </c>
      <c r="H54" s="3">
        <v>380.43</v>
      </c>
      <c r="I54" s="4">
        <v>45464</v>
      </c>
      <c r="J54" s="4">
        <f t="shared" ca="1" si="0"/>
        <v>46303.639034259257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>
      <c r="A55" s="3" t="s">
        <v>65</v>
      </c>
      <c r="B55" s="3" t="s">
        <v>48</v>
      </c>
      <c r="C55" s="3" t="s">
        <v>11</v>
      </c>
      <c r="D55" s="3" t="s">
        <v>12</v>
      </c>
      <c r="E55" s="3">
        <v>942.9</v>
      </c>
      <c r="F55" s="3">
        <v>18</v>
      </c>
      <c r="G55" s="3">
        <v>0.1</v>
      </c>
      <c r="H55" s="3">
        <v>339.44</v>
      </c>
      <c r="I55" s="4">
        <v>45466</v>
      </c>
      <c r="J55" s="4">
        <f t="shared" ca="1" si="0"/>
        <v>46303.639034259257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>
      <c r="A56" s="3" t="s">
        <v>32</v>
      </c>
      <c r="B56" s="3" t="s">
        <v>38</v>
      </c>
      <c r="C56" s="3" t="s">
        <v>24</v>
      </c>
      <c r="D56" s="3" t="s">
        <v>21</v>
      </c>
      <c r="E56" s="3">
        <v>818.8</v>
      </c>
      <c r="F56" s="3">
        <v>15</v>
      </c>
      <c r="G56" s="3">
        <v>0.15</v>
      </c>
      <c r="H56" s="3">
        <v>173.99</v>
      </c>
      <c r="I56" s="4">
        <v>45468</v>
      </c>
      <c r="J56" s="4">
        <f t="shared" ca="1" si="0"/>
        <v>46303.639034259257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>
      <c r="A57" s="3" t="s">
        <v>19</v>
      </c>
      <c r="B57" s="3" t="s">
        <v>14</v>
      </c>
      <c r="C57" s="3" t="s">
        <v>20</v>
      </c>
      <c r="D57" s="3" t="s">
        <v>27</v>
      </c>
      <c r="E57" s="3">
        <v>919.04</v>
      </c>
      <c r="F57" s="3">
        <v>10</v>
      </c>
      <c r="G57" s="3">
        <v>0.2</v>
      </c>
      <c r="H57" s="3">
        <v>257.33</v>
      </c>
      <c r="I57" s="4">
        <v>45468</v>
      </c>
      <c r="J57" s="4">
        <f t="shared" ca="1" si="0"/>
        <v>46303.639034259257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>
      <c r="A58" s="3" t="s">
        <v>22</v>
      </c>
      <c r="B58" s="3" t="s">
        <v>66</v>
      </c>
      <c r="C58" s="3" t="s">
        <v>34</v>
      </c>
      <c r="D58" s="3" t="s">
        <v>12</v>
      </c>
      <c r="E58" s="3">
        <v>973.26</v>
      </c>
      <c r="F58" s="3">
        <v>11</v>
      </c>
      <c r="G58" s="3">
        <v>0</v>
      </c>
      <c r="H58" s="3">
        <v>389.3</v>
      </c>
      <c r="I58" s="4">
        <v>45470</v>
      </c>
      <c r="J58" s="4">
        <f t="shared" ca="1" si="0"/>
        <v>46303.639034259257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>
      <c r="A59" s="3" t="s">
        <v>41</v>
      </c>
      <c r="B59" s="3" t="s">
        <v>64</v>
      </c>
      <c r="C59" s="3" t="s">
        <v>24</v>
      </c>
      <c r="D59" s="3" t="s">
        <v>21</v>
      </c>
      <c r="E59" s="3">
        <v>741.61</v>
      </c>
      <c r="F59" s="3">
        <v>1</v>
      </c>
      <c r="G59" s="3">
        <v>0.2</v>
      </c>
      <c r="H59" s="3">
        <v>148.32</v>
      </c>
      <c r="I59" s="4">
        <v>45471</v>
      </c>
      <c r="J59" s="4">
        <f t="shared" ca="1" si="0"/>
        <v>46303.639034259257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>
      <c r="A60" s="3" t="s">
        <v>67</v>
      </c>
      <c r="B60" s="3" t="s">
        <v>38</v>
      </c>
      <c r="C60" s="3" t="s">
        <v>24</v>
      </c>
      <c r="D60" s="3" t="s">
        <v>12</v>
      </c>
      <c r="E60" s="3">
        <v>1248.82</v>
      </c>
      <c r="F60" s="3">
        <v>2</v>
      </c>
      <c r="G60" s="3">
        <v>0.1</v>
      </c>
      <c r="H60" s="3">
        <v>449.58</v>
      </c>
      <c r="I60" s="4">
        <v>45473</v>
      </c>
      <c r="J60" s="4">
        <f t="shared" ca="1" si="0"/>
        <v>46303.639034259257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>
      <c r="A61" s="3" t="s">
        <v>13</v>
      </c>
      <c r="B61" s="3" t="s">
        <v>59</v>
      </c>
      <c r="C61" s="3" t="s">
        <v>11</v>
      </c>
      <c r="D61" s="3" t="s">
        <v>15</v>
      </c>
      <c r="E61" s="3">
        <v>1360.36</v>
      </c>
      <c r="F61" s="3">
        <v>17</v>
      </c>
      <c r="G61" s="3">
        <v>0</v>
      </c>
      <c r="H61" s="3">
        <v>680.18</v>
      </c>
      <c r="I61" s="4">
        <v>45473</v>
      </c>
      <c r="J61" s="4">
        <f t="shared" ca="1" si="0"/>
        <v>46303.639034259257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>
      <c r="A62" s="3" t="s">
        <v>57</v>
      </c>
      <c r="B62" s="3" t="s">
        <v>31</v>
      </c>
      <c r="C62" s="3" t="s">
        <v>18</v>
      </c>
      <c r="D62" s="3" t="s">
        <v>12</v>
      </c>
      <c r="E62" s="3">
        <v>1383.3</v>
      </c>
      <c r="F62" s="3">
        <v>8</v>
      </c>
      <c r="G62" s="3">
        <v>0.1</v>
      </c>
      <c r="H62" s="3">
        <v>497.99</v>
      </c>
      <c r="I62" s="4">
        <v>45478</v>
      </c>
      <c r="J62" s="4">
        <f t="shared" ca="1" si="0"/>
        <v>46303.639034259257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>
      <c r="A63" s="3" t="s">
        <v>35</v>
      </c>
      <c r="B63" s="3" t="s">
        <v>55</v>
      </c>
      <c r="C63" s="3" t="s">
        <v>34</v>
      </c>
      <c r="D63" s="3" t="s">
        <v>39</v>
      </c>
      <c r="E63" s="3">
        <v>488.99</v>
      </c>
      <c r="F63" s="3">
        <v>9</v>
      </c>
      <c r="G63" s="3">
        <v>0</v>
      </c>
      <c r="H63" s="3">
        <v>220.05</v>
      </c>
      <c r="I63" s="4">
        <v>45479</v>
      </c>
      <c r="J63" s="4">
        <f t="shared" ca="1" si="0"/>
        <v>46303.639034259257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>
      <c r="A64" s="3" t="s">
        <v>30</v>
      </c>
      <c r="B64" s="3" t="s">
        <v>31</v>
      </c>
      <c r="C64" s="3" t="s">
        <v>18</v>
      </c>
      <c r="D64" s="3" t="s">
        <v>27</v>
      </c>
      <c r="E64" s="3">
        <v>933.71</v>
      </c>
      <c r="F64" s="3">
        <v>17</v>
      </c>
      <c r="G64" s="3">
        <v>0.1</v>
      </c>
      <c r="H64" s="3">
        <v>294.12</v>
      </c>
      <c r="I64" s="4">
        <v>45481</v>
      </c>
      <c r="J64" s="4">
        <f t="shared" ca="1" si="0"/>
        <v>46303.639034259257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>
      <c r="A65" s="3" t="s">
        <v>67</v>
      </c>
      <c r="B65" s="3" t="s">
        <v>10</v>
      </c>
      <c r="C65" s="3" t="s">
        <v>11</v>
      </c>
      <c r="D65" s="3" t="s">
        <v>21</v>
      </c>
      <c r="E65" s="3">
        <v>1005.53</v>
      </c>
      <c r="F65" s="3">
        <v>17</v>
      </c>
      <c r="G65" s="3">
        <v>0.2</v>
      </c>
      <c r="H65" s="3">
        <v>201.11</v>
      </c>
      <c r="I65" s="4">
        <v>45481</v>
      </c>
      <c r="J65" s="4">
        <f t="shared" ca="1" si="0"/>
        <v>46303.639034259257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>
      <c r="A66" s="3" t="s">
        <v>41</v>
      </c>
      <c r="B66" s="3" t="s">
        <v>61</v>
      </c>
      <c r="C66" s="3" t="s">
        <v>20</v>
      </c>
      <c r="D66" s="3" t="s">
        <v>21</v>
      </c>
      <c r="E66" s="3">
        <v>1100.0999999999999</v>
      </c>
      <c r="F66" s="3">
        <v>5</v>
      </c>
      <c r="G66" s="3">
        <v>0.05</v>
      </c>
      <c r="H66" s="3">
        <v>261.27</v>
      </c>
      <c r="I66" s="4">
        <v>45482</v>
      </c>
      <c r="J66" s="4">
        <f t="shared" ca="1" si="0"/>
        <v>46303.639034259257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>
      <c r="A67" s="3" t="s">
        <v>67</v>
      </c>
      <c r="B67" s="3" t="s">
        <v>23</v>
      </c>
      <c r="C67" s="3" t="s">
        <v>24</v>
      </c>
      <c r="D67" s="3" t="s">
        <v>27</v>
      </c>
      <c r="E67" s="3">
        <v>1034.7</v>
      </c>
      <c r="F67" s="3">
        <v>15</v>
      </c>
      <c r="G67" s="3">
        <v>0.15</v>
      </c>
      <c r="H67" s="3">
        <v>307.82</v>
      </c>
      <c r="I67" s="4">
        <v>45487</v>
      </c>
      <c r="J67" s="4">
        <f t="shared" ref="J67:J130" ca="1" si="1">NOW()</f>
        <v>46303.639034259257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>
      <c r="A68" s="3" t="s">
        <v>65</v>
      </c>
      <c r="B68" s="3" t="s">
        <v>31</v>
      </c>
      <c r="C68" s="3" t="s">
        <v>20</v>
      </c>
      <c r="D68" s="3" t="s">
        <v>12</v>
      </c>
      <c r="E68" s="3">
        <v>876.44</v>
      </c>
      <c r="F68" s="3">
        <v>12</v>
      </c>
      <c r="G68" s="3">
        <v>0.05</v>
      </c>
      <c r="H68" s="3">
        <v>333.05</v>
      </c>
      <c r="I68" s="4">
        <v>45488</v>
      </c>
      <c r="J68" s="4">
        <f t="shared" ca="1" si="1"/>
        <v>46303.639034259257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>
      <c r="A69" s="3" t="s">
        <v>68</v>
      </c>
      <c r="B69" s="3" t="s">
        <v>55</v>
      </c>
      <c r="C69" s="3" t="s">
        <v>11</v>
      </c>
      <c r="D69" s="3" t="s">
        <v>27</v>
      </c>
      <c r="E69" s="3">
        <v>1371.34</v>
      </c>
      <c r="F69" s="3">
        <v>5</v>
      </c>
      <c r="G69" s="3">
        <v>0.05</v>
      </c>
      <c r="H69" s="3">
        <v>455.97</v>
      </c>
      <c r="I69" s="4">
        <v>45488</v>
      </c>
      <c r="J69" s="4">
        <f t="shared" ca="1" si="1"/>
        <v>46303.639034259257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>
      <c r="A70" s="3" t="s">
        <v>57</v>
      </c>
      <c r="B70" s="3" t="s">
        <v>47</v>
      </c>
      <c r="C70" s="3" t="s">
        <v>24</v>
      </c>
      <c r="D70" s="3" t="s">
        <v>21</v>
      </c>
      <c r="E70" s="3">
        <v>1020.26</v>
      </c>
      <c r="F70" s="3">
        <v>11</v>
      </c>
      <c r="G70" s="3">
        <v>0.05</v>
      </c>
      <c r="H70" s="3">
        <v>242.31</v>
      </c>
      <c r="I70" s="4">
        <v>45494</v>
      </c>
      <c r="J70" s="4">
        <f t="shared" ca="1" si="1"/>
        <v>46303.639034259257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>
      <c r="A71" s="3" t="s">
        <v>44</v>
      </c>
      <c r="B71" s="3" t="s">
        <v>10</v>
      </c>
      <c r="C71" s="3" t="s">
        <v>34</v>
      </c>
      <c r="D71" s="3" t="s">
        <v>39</v>
      </c>
      <c r="E71" s="3">
        <v>804.81</v>
      </c>
      <c r="F71" s="3">
        <v>1</v>
      </c>
      <c r="G71" s="3">
        <v>0.05</v>
      </c>
      <c r="H71" s="3">
        <v>344.06</v>
      </c>
      <c r="I71" s="4">
        <v>45502</v>
      </c>
      <c r="J71" s="4">
        <f t="shared" ca="1" si="1"/>
        <v>46303.639034259257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>
      <c r="A72" s="3" t="s">
        <v>22</v>
      </c>
      <c r="B72" s="3" t="s">
        <v>55</v>
      </c>
      <c r="C72" s="3" t="s">
        <v>34</v>
      </c>
      <c r="D72" s="3" t="s">
        <v>21</v>
      </c>
      <c r="E72" s="3">
        <v>608.66</v>
      </c>
      <c r="F72" s="3">
        <v>1</v>
      </c>
      <c r="G72" s="3">
        <v>0.05</v>
      </c>
      <c r="H72" s="3">
        <v>144.56</v>
      </c>
      <c r="I72" s="4">
        <v>45503</v>
      </c>
      <c r="J72" s="4">
        <f t="shared" ca="1" si="1"/>
        <v>46303.639034259257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>
      <c r="A73" s="3" t="s">
        <v>68</v>
      </c>
      <c r="B73" s="3" t="s">
        <v>69</v>
      </c>
      <c r="C73" s="3" t="s">
        <v>20</v>
      </c>
      <c r="D73" s="3" t="s">
        <v>39</v>
      </c>
      <c r="E73" s="3">
        <v>981.2</v>
      </c>
      <c r="F73" s="3">
        <v>19</v>
      </c>
      <c r="G73" s="3">
        <v>0</v>
      </c>
      <c r="H73" s="3">
        <v>441.54</v>
      </c>
      <c r="I73" s="4">
        <v>45504</v>
      </c>
      <c r="J73" s="4">
        <f t="shared" ca="1" si="1"/>
        <v>46303.639034259257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>
      <c r="A74" s="3" t="s">
        <v>70</v>
      </c>
      <c r="B74" s="3" t="s">
        <v>55</v>
      </c>
      <c r="C74" s="3" t="s">
        <v>18</v>
      </c>
      <c r="D74" s="3" t="s">
        <v>21</v>
      </c>
      <c r="E74" s="3">
        <v>539.77</v>
      </c>
      <c r="F74" s="3">
        <v>10</v>
      </c>
      <c r="G74" s="3">
        <v>0.15</v>
      </c>
      <c r="H74" s="3">
        <v>114.7</v>
      </c>
      <c r="I74" s="4">
        <v>45509</v>
      </c>
      <c r="J74" s="4">
        <f t="shared" ca="1" si="1"/>
        <v>46303.639034259257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>
      <c r="A75" s="3" t="s">
        <v>13</v>
      </c>
      <c r="B75" s="3" t="s">
        <v>71</v>
      </c>
      <c r="C75" s="3" t="s">
        <v>20</v>
      </c>
      <c r="D75" s="3" t="s">
        <v>12</v>
      </c>
      <c r="E75" s="3">
        <v>804.45</v>
      </c>
      <c r="F75" s="3">
        <v>5</v>
      </c>
      <c r="G75" s="3">
        <v>0.2</v>
      </c>
      <c r="H75" s="3">
        <v>257.42</v>
      </c>
      <c r="I75" s="4">
        <v>45509</v>
      </c>
      <c r="J75" s="4">
        <f t="shared" ca="1" si="1"/>
        <v>46303.639034259257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>
      <c r="A76" s="3" t="s">
        <v>70</v>
      </c>
      <c r="B76" s="3" t="s">
        <v>38</v>
      </c>
      <c r="C76" s="3" t="s">
        <v>11</v>
      </c>
      <c r="D76" s="3" t="s">
        <v>21</v>
      </c>
      <c r="E76" s="3">
        <v>1526.6</v>
      </c>
      <c r="F76" s="3">
        <v>13</v>
      </c>
      <c r="G76" s="3">
        <v>0.2</v>
      </c>
      <c r="H76" s="3">
        <v>305.32</v>
      </c>
      <c r="I76" s="4">
        <v>45512</v>
      </c>
      <c r="J76" s="4">
        <f t="shared" ca="1" si="1"/>
        <v>46303.639034259257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>
      <c r="A77" s="3" t="s">
        <v>13</v>
      </c>
      <c r="B77" s="3" t="s">
        <v>29</v>
      </c>
      <c r="C77" s="3" t="s">
        <v>11</v>
      </c>
      <c r="D77" s="3" t="s">
        <v>21</v>
      </c>
      <c r="E77" s="3">
        <v>1215.26</v>
      </c>
      <c r="F77" s="3">
        <v>5</v>
      </c>
      <c r="G77" s="3">
        <v>0.15</v>
      </c>
      <c r="H77" s="3">
        <v>258.24</v>
      </c>
      <c r="I77" s="4">
        <v>45513</v>
      </c>
      <c r="J77" s="4">
        <f t="shared" ca="1" si="1"/>
        <v>46303.639034259257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>
      <c r="A78" s="3" t="s">
        <v>19</v>
      </c>
      <c r="B78" s="3" t="s">
        <v>53</v>
      </c>
      <c r="C78" s="3" t="s">
        <v>34</v>
      </c>
      <c r="D78" s="3" t="s">
        <v>27</v>
      </c>
      <c r="E78" s="3">
        <v>1261.3399999999999</v>
      </c>
      <c r="F78" s="3">
        <v>3</v>
      </c>
      <c r="G78" s="3">
        <v>0</v>
      </c>
      <c r="H78" s="3">
        <v>441.47</v>
      </c>
      <c r="I78" s="4">
        <v>45519</v>
      </c>
      <c r="J78" s="4">
        <f t="shared" ca="1" si="1"/>
        <v>46303.639034259257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>
      <c r="A79" s="3" t="s">
        <v>72</v>
      </c>
      <c r="B79" s="3" t="s">
        <v>45</v>
      </c>
      <c r="C79" s="3" t="s">
        <v>24</v>
      </c>
      <c r="D79" s="3" t="s">
        <v>27</v>
      </c>
      <c r="E79" s="3">
        <v>518.07000000000005</v>
      </c>
      <c r="F79" s="3">
        <v>7</v>
      </c>
      <c r="G79" s="3">
        <v>0.05</v>
      </c>
      <c r="H79" s="3">
        <v>172.26</v>
      </c>
      <c r="I79" s="4">
        <v>45522</v>
      </c>
      <c r="J79" s="4">
        <f t="shared" ca="1" si="1"/>
        <v>46303.639034259257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>
      <c r="A80" s="3" t="s">
        <v>30</v>
      </c>
      <c r="B80" s="3" t="s">
        <v>29</v>
      </c>
      <c r="C80" s="3" t="s">
        <v>11</v>
      </c>
      <c r="D80" s="3" t="s">
        <v>39</v>
      </c>
      <c r="E80" s="3">
        <v>1111.3399999999999</v>
      </c>
      <c r="F80" s="3">
        <v>1</v>
      </c>
      <c r="G80" s="3">
        <v>0</v>
      </c>
      <c r="H80" s="3">
        <v>500.1</v>
      </c>
      <c r="I80" s="4">
        <v>45523</v>
      </c>
      <c r="J80" s="4">
        <f t="shared" ca="1" si="1"/>
        <v>46303.639034259257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>
      <c r="A81" s="3" t="s">
        <v>22</v>
      </c>
      <c r="B81" s="3" t="s">
        <v>31</v>
      </c>
      <c r="C81" s="3" t="s">
        <v>18</v>
      </c>
      <c r="D81" s="3" t="s">
        <v>15</v>
      </c>
      <c r="E81" s="3">
        <v>1291.47</v>
      </c>
      <c r="F81" s="3">
        <v>18</v>
      </c>
      <c r="G81" s="3">
        <v>0.1</v>
      </c>
      <c r="H81" s="3">
        <v>581.16</v>
      </c>
      <c r="I81" s="4">
        <v>45526</v>
      </c>
      <c r="J81" s="4">
        <f t="shared" ca="1" si="1"/>
        <v>46303.639034259257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>
      <c r="A82" s="3" t="s">
        <v>25</v>
      </c>
      <c r="B82" s="3" t="s">
        <v>55</v>
      </c>
      <c r="C82" s="3" t="s">
        <v>24</v>
      </c>
      <c r="D82" s="3" t="s">
        <v>12</v>
      </c>
      <c r="E82" s="3">
        <v>679.71</v>
      </c>
      <c r="F82" s="3">
        <v>19</v>
      </c>
      <c r="G82" s="3">
        <v>0</v>
      </c>
      <c r="H82" s="3">
        <v>271.88</v>
      </c>
      <c r="I82" s="4">
        <v>45534</v>
      </c>
      <c r="J82" s="4">
        <f t="shared" ca="1" si="1"/>
        <v>46303.639034259257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>
      <c r="A83" s="3" t="s">
        <v>68</v>
      </c>
      <c r="B83" s="3" t="s">
        <v>33</v>
      </c>
      <c r="C83" s="3" t="s">
        <v>18</v>
      </c>
      <c r="D83" s="3" t="s">
        <v>27</v>
      </c>
      <c r="E83" s="3">
        <v>1143.69</v>
      </c>
      <c r="F83" s="3">
        <v>17</v>
      </c>
      <c r="G83" s="3">
        <v>0</v>
      </c>
      <c r="H83" s="3">
        <v>400.29</v>
      </c>
      <c r="I83" s="4">
        <v>45534</v>
      </c>
      <c r="J83" s="4">
        <f t="shared" ca="1" si="1"/>
        <v>46303.639034259257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>
      <c r="A84" s="3" t="s">
        <v>52</v>
      </c>
      <c r="B84" s="3" t="s">
        <v>50</v>
      </c>
      <c r="C84" s="3" t="s">
        <v>34</v>
      </c>
      <c r="D84" s="3" t="s">
        <v>21</v>
      </c>
      <c r="E84" s="3">
        <v>790.08</v>
      </c>
      <c r="F84" s="3">
        <v>7</v>
      </c>
      <c r="G84" s="3">
        <v>0.1</v>
      </c>
      <c r="H84" s="3">
        <v>177.77</v>
      </c>
      <c r="I84" s="4">
        <v>45536</v>
      </c>
      <c r="J84" s="4">
        <f t="shared" ca="1" si="1"/>
        <v>46303.639034259257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>
      <c r="A85" s="3" t="s">
        <v>19</v>
      </c>
      <c r="B85" s="3" t="s">
        <v>48</v>
      </c>
      <c r="C85" s="3" t="s">
        <v>34</v>
      </c>
      <c r="D85" s="3" t="s">
        <v>12</v>
      </c>
      <c r="E85" s="3">
        <v>1070.68</v>
      </c>
      <c r="F85" s="3">
        <v>7</v>
      </c>
      <c r="G85" s="3">
        <v>0.05</v>
      </c>
      <c r="H85" s="3">
        <v>406.86</v>
      </c>
      <c r="I85" s="4">
        <v>45536</v>
      </c>
      <c r="J85" s="4">
        <f t="shared" ca="1" si="1"/>
        <v>46303.639034259257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>
      <c r="A86" s="3" t="s">
        <v>58</v>
      </c>
      <c r="B86" s="3" t="s">
        <v>36</v>
      </c>
      <c r="C86" s="3" t="s">
        <v>11</v>
      </c>
      <c r="D86" s="3" t="s">
        <v>15</v>
      </c>
      <c r="E86" s="3">
        <v>1168.8900000000001</v>
      </c>
      <c r="F86" s="3">
        <v>4</v>
      </c>
      <c r="G86" s="3">
        <v>0.1</v>
      </c>
      <c r="H86" s="3">
        <v>526</v>
      </c>
      <c r="I86" s="4">
        <v>45544</v>
      </c>
      <c r="J86" s="4">
        <f t="shared" ca="1" si="1"/>
        <v>46303.639034259257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>
      <c r="A87" s="3" t="s">
        <v>67</v>
      </c>
      <c r="B87" s="3" t="s">
        <v>10</v>
      </c>
      <c r="C87" s="3" t="s">
        <v>20</v>
      </c>
      <c r="D87" s="3" t="s">
        <v>21</v>
      </c>
      <c r="E87" s="3">
        <v>1335.87</v>
      </c>
      <c r="F87" s="3">
        <v>17</v>
      </c>
      <c r="G87" s="3">
        <v>0</v>
      </c>
      <c r="H87" s="3">
        <v>333.97</v>
      </c>
      <c r="I87" s="4">
        <v>45544</v>
      </c>
      <c r="J87" s="4">
        <f t="shared" ca="1" si="1"/>
        <v>46303.639034259257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>
      <c r="A88" s="3" t="s">
        <v>40</v>
      </c>
      <c r="B88" s="3" t="s">
        <v>55</v>
      </c>
      <c r="C88" s="3" t="s">
        <v>18</v>
      </c>
      <c r="D88" s="3" t="s">
        <v>27</v>
      </c>
      <c r="E88" s="3">
        <v>873.7</v>
      </c>
      <c r="F88" s="3">
        <v>9</v>
      </c>
      <c r="G88" s="3">
        <v>0</v>
      </c>
      <c r="H88" s="3">
        <v>305.8</v>
      </c>
      <c r="I88" s="4">
        <v>45546</v>
      </c>
      <c r="J88" s="4">
        <f t="shared" ca="1" si="1"/>
        <v>46303.639034259257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>
      <c r="A89" s="3" t="s">
        <v>72</v>
      </c>
      <c r="B89" s="3" t="s">
        <v>64</v>
      </c>
      <c r="C89" s="3" t="s">
        <v>11</v>
      </c>
      <c r="D89" s="3" t="s">
        <v>39</v>
      </c>
      <c r="E89" s="3">
        <v>1443.98</v>
      </c>
      <c r="F89" s="3">
        <v>19</v>
      </c>
      <c r="G89" s="3">
        <v>0</v>
      </c>
      <c r="H89" s="3">
        <v>649.79</v>
      </c>
      <c r="I89" s="4">
        <v>45547</v>
      </c>
      <c r="J89" s="4">
        <f t="shared" ca="1" si="1"/>
        <v>46303.639034259257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>
      <c r="A90" s="3" t="s">
        <v>40</v>
      </c>
      <c r="B90" s="3" t="s">
        <v>23</v>
      </c>
      <c r="C90" s="3" t="s">
        <v>18</v>
      </c>
      <c r="D90" s="3" t="s">
        <v>39</v>
      </c>
      <c r="E90" s="3">
        <v>1154.33</v>
      </c>
      <c r="F90" s="3">
        <v>11</v>
      </c>
      <c r="G90" s="3">
        <v>0.15</v>
      </c>
      <c r="H90" s="3">
        <v>441.53</v>
      </c>
      <c r="I90" s="4">
        <v>45549</v>
      </c>
      <c r="J90" s="4">
        <f t="shared" ca="1" si="1"/>
        <v>46303.639034259257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>
      <c r="A91" s="3" t="s">
        <v>49</v>
      </c>
      <c r="B91" s="3" t="s">
        <v>50</v>
      </c>
      <c r="C91" s="3" t="s">
        <v>20</v>
      </c>
      <c r="D91" s="3" t="s">
        <v>12</v>
      </c>
      <c r="E91" s="3">
        <v>1264.49</v>
      </c>
      <c r="F91" s="3">
        <v>16</v>
      </c>
      <c r="G91" s="3">
        <v>0.05</v>
      </c>
      <c r="H91" s="3">
        <v>480.51</v>
      </c>
      <c r="I91" s="4">
        <v>45549</v>
      </c>
      <c r="J91" s="4">
        <f t="shared" ca="1" si="1"/>
        <v>46303.639034259257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>
      <c r="A92" s="3" t="s">
        <v>25</v>
      </c>
      <c r="B92" s="3" t="s">
        <v>66</v>
      </c>
      <c r="C92" s="3" t="s">
        <v>11</v>
      </c>
      <c r="D92" s="3" t="s">
        <v>27</v>
      </c>
      <c r="E92" s="3">
        <v>1101.55</v>
      </c>
      <c r="F92" s="3">
        <v>4</v>
      </c>
      <c r="G92" s="3">
        <v>0.1</v>
      </c>
      <c r="H92" s="3">
        <v>346.99</v>
      </c>
      <c r="I92" s="4">
        <v>45551</v>
      </c>
      <c r="J92" s="4">
        <f t="shared" ca="1" si="1"/>
        <v>46303.639034259257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>
      <c r="A93" s="3" t="s">
        <v>73</v>
      </c>
      <c r="B93" s="3" t="s">
        <v>14</v>
      </c>
      <c r="C93" s="3" t="s">
        <v>20</v>
      </c>
      <c r="D93" s="3" t="s">
        <v>27</v>
      </c>
      <c r="E93" s="3">
        <v>727.73</v>
      </c>
      <c r="F93" s="3">
        <v>1</v>
      </c>
      <c r="G93" s="3">
        <v>0.1</v>
      </c>
      <c r="H93" s="3">
        <v>229.23</v>
      </c>
      <c r="I93" s="4">
        <v>45552</v>
      </c>
      <c r="J93" s="4">
        <f t="shared" ca="1" si="1"/>
        <v>46303.639034259257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>
      <c r="A94" s="3" t="s">
        <v>74</v>
      </c>
      <c r="B94" s="3" t="s">
        <v>38</v>
      </c>
      <c r="C94" s="3" t="s">
        <v>18</v>
      </c>
      <c r="D94" s="3" t="s">
        <v>39</v>
      </c>
      <c r="E94" s="3">
        <v>875.41</v>
      </c>
      <c r="F94" s="3">
        <v>13</v>
      </c>
      <c r="G94" s="3">
        <v>0.15</v>
      </c>
      <c r="H94" s="3">
        <v>334.84</v>
      </c>
      <c r="I94" s="4">
        <v>45552</v>
      </c>
      <c r="J94" s="4">
        <f t="shared" ca="1" si="1"/>
        <v>46303.639034259257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>
      <c r="A95" s="3" t="s">
        <v>67</v>
      </c>
      <c r="B95" s="3" t="s">
        <v>23</v>
      </c>
      <c r="C95" s="3" t="s">
        <v>11</v>
      </c>
      <c r="D95" s="3" t="s">
        <v>21</v>
      </c>
      <c r="E95" s="3">
        <v>1158.94</v>
      </c>
      <c r="F95" s="3">
        <v>19</v>
      </c>
      <c r="G95" s="3">
        <v>0.2</v>
      </c>
      <c r="H95" s="3">
        <v>231.79</v>
      </c>
      <c r="I95" s="4">
        <v>45553</v>
      </c>
      <c r="J95" s="4">
        <f t="shared" ca="1" si="1"/>
        <v>46303.639034259257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>
      <c r="A96" s="3" t="s">
        <v>75</v>
      </c>
      <c r="B96" s="3" t="s">
        <v>47</v>
      </c>
      <c r="C96" s="3" t="s">
        <v>20</v>
      </c>
      <c r="D96" s="3" t="s">
        <v>12</v>
      </c>
      <c r="E96" s="3">
        <v>966.3</v>
      </c>
      <c r="F96" s="3">
        <v>2</v>
      </c>
      <c r="G96" s="3">
        <v>0.15</v>
      </c>
      <c r="H96" s="3">
        <v>328.54</v>
      </c>
      <c r="I96" s="4">
        <v>45557</v>
      </c>
      <c r="J96" s="4">
        <f t="shared" ca="1" si="1"/>
        <v>46303.639034259257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>
      <c r="A97" s="3" t="s">
        <v>68</v>
      </c>
      <c r="B97" s="3" t="s">
        <v>17</v>
      </c>
      <c r="C97" s="3" t="s">
        <v>20</v>
      </c>
      <c r="D97" s="3" t="s">
        <v>12</v>
      </c>
      <c r="E97" s="3">
        <v>917.48</v>
      </c>
      <c r="F97" s="3">
        <v>6</v>
      </c>
      <c r="G97" s="3">
        <v>0</v>
      </c>
      <c r="H97" s="3">
        <v>366.99</v>
      </c>
      <c r="I97" s="4">
        <v>45558</v>
      </c>
      <c r="J97" s="4">
        <f t="shared" ca="1" si="1"/>
        <v>46303.639034259257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>
      <c r="A98" s="3" t="s">
        <v>41</v>
      </c>
      <c r="B98" s="3" t="s">
        <v>61</v>
      </c>
      <c r="C98" s="3" t="s">
        <v>11</v>
      </c>
      <c r="D98" s="3" t="s">
        <v>27</v>
      </c>
      <c r="E98" s="3">
        <v>1172.97</v>
      </c>
      <c r="F98" s="3">
        <v>7</v>
      </c>
      <c r="G98" s="3">
        <v>0.15</v>
      </c>
      <c r="H98" s="3">
        <v>348.96</v>
      </c>
      <c r="I98" s="4">
        <v>45559</v>
      </c>
      <c r="J98" s="4">
        <f t="shared" ca="1" si="1"/>
        <v>46303.639034259257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>
      <c r="A99" s="3" t="s">
        <v>57</v>
      </c>
      <c r="B99" s="3" t="s">
        <v>23</v>
      </c>
      <c r="C99" s="3" t="s">
        <v>24</v>
      </c>
      <c r="D99" s="3" t="s">
        <v>15</v>
      </c>
      <c r="E99" s="3">
        <v>1205.82</v>
      </c>
      <c r="F99" s="3">
        <v>11</v>
      </c>
      <c r="G99" s="3">
        <v>0.1</v>
      </c>
      <c r="H99" s="3">
        <v>542.62</v>
      </c>
      <c r="I99" s="4">
        <v>45559</v>
      </c>
      <c r="J99" s="4">
        <f t="shared" ca="1" si="1"/>
        <v>46303.639034259257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>
      <c r="A100" s="3" t="s">
        <v>16</v>
      </c>
      <c r="B100" s="3" t="s">
        <v>64</v>
      </c>
      <c r="C100" s="3" t="s">
        <v>11</v>
      </c>
      <c r="D100" s="3" t="s">
        <v>39</v>
      </c>
      <c r="E100" s="3">
        <v>826.93</v>
      </c>
      <c r="F100" s="3">
        <v>10</v>
      </c>
      <c r="G100" s="3">
        <v>0.2</v>
      </c>
      <c r="H100" s="3">
        <v>297.69</v>
      </c>
      <c r="I100" s="4">
        <v>45564</v>
      </c>
      <c r="J100" s="4">
        <f t="shared" ca="1" si="1"/>
        <v>46303.639034259257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>
      <c r="A101" s="3" t="s">
        <v>67</v>
      </c>
      <c r="B101" s="3" t="s">
        <v>23</v>
      </c>
      <c r="C101" s="3" t="s">
        <v>34</v>
      </c>
      <c r="D101" s="3" t="s">
        <v>15</v>
      </c>
      <c r="E101" s="3">
        <v>902.19</v>
      </c>
      <c r="F101" s="3">
        <v>12</v>
      </c>
      <c r="G101" s="3">
        <v>0</v>
      </c>
      <c r="H101" s="3">
        <v>451.1</v>
      </c>
      <c r="I101" s="4">
        <v>45564</v>
      </c>
      <c r="J101" s="4">
        <f t="shared" ca="1" si="1"/>
        <v>46303.639034259257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>
      <c r="A102" s="3" t="s">
        <v>74</v>
      </c>
      <c r="B102" s="3" t="s">
        <v>38</v>
      </c>
      <c r="C102" s="3" t="s">
        <v>24</v>
      </c>
      <c r="D102" s="3" t="s">
        <v>12</v>
      </c>
      <c r="E102" s="3">
        <v>585.97</v>
      </c>
      <c r="F102" s="3">
        <v>17</v>
      </c>
      <c r="G102" s="3">
        <v>0.1</v>
      </c>
      <c r="H102" s="3">
        <v>210.95</v>
      </c>
      <c r="I102" s="4">
        <v>45565</v>
      </c>
      <c r="J102" s="4">
        <f t="shared" ca="1" si="1"/>
        <v>46303.639034259257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>
      <c r="A103" s="3" t="s">
        <v>60</v>
      </c>
      <c r="B103" s="3" t="s">
        <v>26</v>
      </c>
      <c r="C103" s="3" t="s">
        <v>24</v>
      </c>
      <c r="D103" s="3" t="s">
        <v>15</v>
      </c>
      <c r="E103" s="3">
        <v>990.19</v>
      </c>
      <c r="F103" s="3">
        <v>8</v>
      </c>
      <c r="G103" s="3">
        <v>0.1</v>
      </c>
      <c r="H103" s="3">
        <v>445.59</v>
      </c>
      <c r="I103" s="4">
        <v>45565</v>
      </c>
      <c r="J103" s="4">
        <f t="shared" ca="1" si="1"/>
        <v>46303.639034259257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>
      <c r="A104" s="3" t="s">
        <v>44</v>
      </c>
      <c r="B104" s="3" t="s">
        <v>56</v>
      </c>
      <c r="C104" s="3" t="s">
        <v>34</v>
      </c>
      <c r="D104" s="3" t="s">
        <v>21</v>
      </c>
      <c r="E104" s="3">
        <v>1014.09</v>
      </c>
      <c r="F104" s="3">
        <v>13</v>
      </c>
      <c r="G104" s="3">
        <v>0.2</v>
      </c>
      <c r="H104" s="3">
        <v>202.82</v>
      </c>
      <c r="I104" s="4">
        <v>45567</v>
      </c>
      <c r="J104" s="4">
        <f t="shared" ca="1" si="1"/>
        <v>46303.639034259257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>
      <c r="A105" s="3" t="s">
        <v>13</v>
      </c>
      <c r="B105" s="3" t="s">
        <v>48</v>
      </c>
      <c r="C105" s="3" t="s">
        <v>24</v>
      </c>
      <c r="D105" s="3" t="s">
        <v>21</v>
      </c>
      <c r="E105" s="3">
        <v>925.29</v>
      </c>
      <c r="F105" s="3">
        <v>17</v>
      </c>
      <c r="G105" s="3">
        <v>0</v>
      </c>
      <c r="H105" s="3">
        <v>231.32</v>
      </c>
      <c r="I105" s="4">
        <v>45570</v>
      </c>
      <c r="J105" s="4">
        <f t="shared" ca="1" si="1"/>
        <v>46303.639034259257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>
      <c r="A106" s="3" t="s">
        <v>54</v>
      </c>
      <c r="B106" s="3" t="s">
        <v>47</v>
      </c>
      <c r="C106" s="3" t="s">
        <v>18</v>
      </c>
      <c r="D106" s="3" t="s">
        <v>27</v>
      </c>
      <c r="E106" s="3">
        <v>1286.54</v>
      </c>
      <c r="F106" s="3">
        <v>8</v>
      </c>
      <c r="G106" s="3">
        <v>0</v>
      </c>
      <c r="H106" s="3">
        <v>450.29</v>
      </c>
      <c r="I106" s="4">
        <v>45575</v>
      </c>
      <c r="J106" s="4">
        <f t="shared" ca="1" si="1"/>
        <v>46303.639034259257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>
      <c r="A107" s="3" t="s">
        <v>37</v>
      </c>
      <c r="B107" s="3" t="s">
        <v>64</v>
      </c>
      <c r="C107" s="3" t="s">
        <v>20</v>
      </c>
      <c r="D107" s="3" t="s">
        <v>12</v>
      </c>
      <c r="E107" s="3">
        <v>961.62</v>
      </c>
      <c r="F107" s="3">
        <v>8</v>
      </c>
      <c r="G107" s="3">
        <v>0.2</v>
      </c>
      <c r="H107" s="3">
        <v>307.72000000000003</v>
      </c>
      <c r="I107" s="4">
        <v>45577</v>
      </c>
      <c r="J107" s="4">
        <f t="shared" ca="1" si="1"/>
        <v>46303.639034259257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>
      <c r="A108" s="3" t="s">
        <v>44</v>
      </c>
      <c r="B108" s="3" t="s">
        <v>23</v>
      </c>
      <c r="C108" s="3" t="s">
        <v>18</v>
      </c>
      <c r="D108" s="3" t="s">
        <v>12</v>
      </c>
      <c r="E108" s="3">
        <v>1081.1400000000001</v>
      </c>
      <c r="F108" s="3">
        <v>19</v>
      </c>
      <c r="G108" s="3">
        <v>0.15</v>
      </c>
      <c r="H108" s="3">
        <v>367.59</v>
      </c>
      <c r="I108" s="4">
        <v>45577</v>
      </c>
      <c r="J108" s="4">
        <f t="shared" ca="1" si="1"/>
        <v>46303.639034259257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>
      <c r="A109" s="3" t="s">
        <v>58</v>
      </c>
      <c r="B109" s="3" t="s">
        <v>23</v>
      </c>
      <c r="C109" s="3" t="s">
        <v>11</v>
      </c>
      <c r="D109" s="3" t="s">
        <v>15</v>
      </c>
      <c r="E109" s="3">
        <v>1923.66</v>
      </c>
      <c r="F109" s="3">
        <v>9</v>
      </c>
      <c r="G109" s="3">
        <v>0.2</v>
      </c>
      <c r="H109" s="3">
        <v>769.46</v>
      </c>
      <c r="I109" s="4">
        <v>45580</v>
      </c>
      <c r="J109" s="4">
        <f t="shared" ca="1" si="1"/>
        <v>46303.639034259257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>
      <c r="A110" s="3" t="s">
        <v>54</v>
      </c>
      <c r="B110" s="3" t="s">
        <v>66</v>
      </c>
      <c r="C110" s="3" t="s">
        <v>34</v>
      </c>
      <c r="D110" s="3" t="s">
        <v>15</v>
      </c>
      <c r="E110" s="3">
        <v>728.71</v>
      </c>
      <c r="F110" s="3">
        <v>14</v>
      </c>
      <c r="G110" s="3">
        <v>0.1</v>
      </c>
      <c r="H110" s="3">
        <v>327.92</v>
      </c>
      <c r="I110" s="4">
        <v>45581</v>
      </c>
      <c r="J110" s="4">
        <f t="shared" ca="1" si="1"/>
        <v>46303.639034259257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>
      <c r="A111" s="3" t="s">
        <v>9</v>
      </c>
      <c r="B111" s="3" t="s">
        <v>33</v>
      </c>
      <c r="C111" s="3" t="s">
        <v>34</v>
      </c>
      <c r="D111" s="3" t="s">
        <v>15</v>
      </c>
      <c r="E111" s="3">
        <v>1301.8900000000001</v>
      </c>
      <c r="F111" s="3">
        <v>7</v>
      </c>
      <c r="G111" s="3">
        <v>0.15</v>
      </c>
      <c r="H111" s="3">
        <v>553.29999999999995</v>
      </c>
      <c r="I111" s="4">
        <v>45581</v>
      </c>
      <c r="J111" s="4">
        <f t="shared" ca="1" si="1"/>
        <v>46303.639034259257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>
      <c r="A112" s="3" t="s">
        <v>70</v>
      </c>
      <c r="B112" s="3" t="s">
        <v>66</v>
      </c>
      <c r="C112" s="3" t="s">
        <v>18</v>
      </c>
      <c r="D112" s="3" t="s">
        <v>12</v>
      </c>
      <c r="E112" s="3">
        <v>980.18</v>
      </c>
      <c r="F112" s="3">
        <v>16</v>
      </c>
      <c r="G112" s="3">
        <v>0.1</v>
      </c>
      <c r="H112" s="3">
        <v>352.86</v>
      </c>
      <c r="I112" s="4">
        <v>45582</v>
      </c>
      <c r="J112" s="4">
        <f t="shared" ca="1" si="1"/>
        <v>46303.639034259257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>
      <c r="A113" s="3" t="s">
        <v>74</v>
      </c>
      <c r="B113" s="3" t="s">
        <v>23</v>
      </c>
      <c r="C113" s="3" t="s">
        <v>11</v>
      </c>
      <c r="D113" s="3" t="s">
        <v>15</v>
      </c>
      <c r="E113" s="3">
        <v>697.57</v>
      </c>
      <c r="F113" s="3">
        <v>17</v>
      </c>
      <c r="G113" s="3">
        <v>0.1</v>
      </c>
      <c r="H113" s="3">
        <v>313.91000000000003</v>
      </c>
      <c r="I113" s="4">
        <v>45584</v>
      </c>
      <c r="J113" s="4">
        <f t="shared" ca="1" si="1"/>
        <v>46303.639034259257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>
      <c r="A114" s="3" t="s">
        <v>46</v>
      </c>
      <c r="B114" s="3" t="s">
        <v>71</v>
      </c>
      <c r="C114" s="3" t="s">
        <v>11</v>
      </c>
      <c r="D114" s="3" t="s">
        <v>27</v>
      </c>
      <c r="E114" s="3">
        <v>1193.6099999999999</v>
      </c>
      <c r="F114" s="3">
        <v>1</v>
      </c>
      <c r="G114" s="3">
        <v>0.15</v>
      </c>
      <c r="H114" s="3">
        <v>355.1</v>
      </c>
      <c r="I114" s="4">
        <v>45584</v>
      </c>
      <c r="J114" s="4">
        <f t="shared" ca="1" si="1"/>
        <v>46303.639034259257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>
      <c r="A115" s="3" t="s">
        <v>32</v>
      </c>
      <c r="B115" s="3" t="s">
        <v>38</v>
      </c>
      <c r="C115" s="3" t="s">
        <v>20</v>
      </c>
      <c r="D115" s="3" t="s">
        <v>21</v>
      </c>
      <c r="E115" s="3">
        <v>771.02</v>
      </c>
      <c r="F115" s="3">
        <v>1</v>
      </c>
      <c r="G115" s="3">
        <v>0</v>
      </c>
      <c r="H115" s="3">
        <v>192.76</v>
      </c>
      <c r="I115" s="4">
        <v>45585</v>
      </c>
      <c r="J115" s="4">
        <f t="shared" ca="1" si="1"/>
        <v>46303.639034259257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>
      <c r="A116" s="3" t="s">
        <v>67</v>
      </c>
      <c r="B116" s="3" t="s">
        <v>69</v>
      </c>
      <c r="C116" s="3" t="s">
        <v>24</v>
      </c>
      <c r="D116" s="3" t="s">
        <v>15</v>
      </c>
      <c r="E116" s="3">
        <v>661.09</v>
      </c>
      <c r="F116" s="3">
        <v>1</v>
      </c>
      <c r="G116" s="3">
        <v>0.2</v>
      </c>
      <c r="H116" s="3">
        <v>264.44</v>
      </c>
      <c r="I116" s="4">
        <v>45593</v>
      </c>
      <c r="J116" s="4">
        <f t="shared" ca="1" si="1"/>
        <v>46303.639034259257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>
      <c r="A117" s="3" t="s">
        <v>13</v>
      </c>
      <c r="B117" s="3" t="s">
        <v>55</v>
      </c>
      <c r="C117" s="3" t="s">
        <v>11</v>
      </c>
      <c r="D117" s="3" t="s">
        <v>21</v>
      </c>
      <c r="E117" s="3">
        <v>688.83</v>
      </c>
      <c r="F117" s="3">
        <v>15</v>
      </c>
      <c r="G117" s="3">
        <v>0</v>
      </c>
      <c r="H117" s="3">
        <v>172.21</v>
      </c>
      <c r="I117" s="4">
        <v>45595</v>
      </c>
      <c r="J117" s="4">
        <f t="shared" ca="1" si="1"/>
        <v>46303.639034259257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>
      <c r="A118" s="3" t="s">
        <v>73</v>
      </c>
      <c r="B118" s="3" t="s">
        <v>29</v>
      </c>
      <c r="C118" s="3" t="s">
        <v>34</v>
      </c>
      <c r="D118" s="3" t="s">
        <v>12</v>
      </c>
      <c r="E118" s="3">
        <v>1249.0999999999999</v>
      </c>
      <c r="F118" s="3">
        <v>4</v>
      </c>
      <c r="G118" s="3">
        <v>0.05</v>
      </c>
      <c r="H118" s="3">
        <v>474.66</v>
      </c>
      <c r="I118" s="4">
        <v>45597</v>
      </c>
      <c r="J118" s="4">
        <f t="shared" ca="1" si="1"/>
        <v>46303.639034259257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>
      <c r="A119" s="3" t="s">
        <v>44</v>
      </c>
      <c r="B119" s="3" t="s">
        <v>23</v>
      </c>
      <c r="C119" s="3" t="s">
        <v>18</v>
      </c>
      <c r="D119" s="3" t="s">
        <v>39</v>
      </c>
      <c r="E119" s="3">
        <v>1014.22</v>
      </c>
      <c r="F119" s="3">
        <v>14</v>
      </c>
      <c r="G119" s="3">
        <v>0.05</v>
      </c>
      <c r="H119" s="3">
        <v>433.58</v>
      </c>
      <c r="I119" s="4">
        <v>45599</v>
      </c>
      <c r="J119" s="4">
        <f t="shared" ca="1" si="1"/>
        <v>46303.639034259257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>
      <c r="A120" s="3" t="s">
        <v>54</v>
      </c>
      <c r="B120" s="3" t="s">
        <v>48</v>
      </c>
      <c r="C120" s="3" t="s">
        <v>18</v>
      </c>
      <c r="D120" s="3" t="s">
        <v>12</v>
      </c>
      <c r="E120" s="3">
        <v>1010.58</v>
      </c>
      <c r="F120" s="3">
        <v>2</v>
      </c>
      <c r="G120" s="3">
        <v>0.15</v>
      </c>
      <c r="H120" s="3">
        <v>343.6</v>
      </c>
      <c r="I120" s="4">
        <v>45605</v>
      </c>
      <c r="J120" s="4">
        <f t="shared" ca="1" si="1"/>
        <v>46303.639034259257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>
      <c r="A121" s="3" t="s">
        <v>30</v>
      </c>
      <c r="B121" s="3" t="s">
        <v>59</v>
      </c>
      <c r="C121" s="3" t="s">
        <v>24</v>
      </c>
      <c r="D121" s="3" t="s">
        <v>27</v>
      </c>
      <c r="E121" s="3">
        <v>957.29</v>
      </c>
      <c r="F121" s="3">
        <v>4</v>
      </c>
      <c r="G121" s="3">
        <v>0.05</v>
      </c>
      <c r="H121" s="3">
        <v>318.3</v>
      </c>
      <c r="I121" s="4">
        <v>45605</v>
      </c>
      <c r="J121" s="4">
        <f t="shared" ca="1" si="1"/>
        <v>46303.639034259257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>
      <c r="A122" s="3" t="s">
        <v>28</v>
      </c>
      <c r="B122" s="3" t="s">
        <v>45</v>
      </c>
      <c r="C122" s="3" t="s">
        <v>24</v>
      </c>
      <c r="D122" s="3" t="s">
        <v>27</v>
      </c>
      <c r="E122" s="3">
        <v>1077.92</v>
      </c>
      <c r="F122" s="3">
        <v>3</v>
      </c>
      <c r="G122" s="3">
        <v>0.05</v>
      </c>
      <c r="H122" s="3">
        <v>358.41</v>
      </c>
      <c r="I122" s="4">
        <v>45608</v>
      </c>
      <c r="J122" s="4">
        <f t="shared" ca="1" si="1"/>
        <v>46303.639034259257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>
      <c r="A123" s="3" t="s">
        <v>52</v>
      </c>
      <c r="B123" s="3" t="s">
        <v>50</v>
      </c>
      <c r="C123" s="3" t="s">
        <v>20</v>
      </c>
      <c r="D123" s="3" t="s">
        <v>15</v>
      </c>
      <c r="E123" s="3">
        <v>1163.01</v>
      </c>
      <c r="F123" s="3">
        <v>5</v>
      </c>
      <c r="G123" s="3">
        <v>0</v>
      </c>
      <c r="H123" s="3">
        <v>581.5</v>
      </c>
      <c r="I123" s="4">
        <v>45611</v>
      </c>
      <c r="J123" s="4">
        <f t="shared" ca="1" si="1"/>
        <v>46303.639034259257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>
      <c r="A124" s="3" t="s">
        <v>54</v>
      </c>
      <c r="B124" s="3" t="s">
        <v>45</v>
      </c>
      <c r="C124" s="3" t="s">
        <v>18</v>
      </c>
      <c r="D124" s="3" t="s">
        <v>39</v>
      </c>
      <c r="E124" s="3">
        <v>1014.56</v>
      </c>
      <c r="F124" s="3">
        <v>10</v>
      </c>
      <c r="G124" s="3">
        <v>0.1</v>
      </c>
      <c r="H124" s="3">
        <v>410.9</v>
      </c>
      <c r="I124" s="4">
        <v>45612</v>
      </c>
      <c r="J124" s="4">
        <f t="shared" ca="1" si="1"/>
        <v>46303.639034259257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>
      <c r="A125" s="3" t="s">
        <v>9</v>
      </c>
      <c r="B125" s="3" t="s">
        <v>17</v>
      </c>
      <c r="C125" s="3" t="s">
        <v>20</v>
      </c>
      <c r="D125" s="3" t="s">
        <v>21</v>
      </c>
      <c r="E125" s="3">
        <v>718.04</v>
      </c>
      <c r="F125" s="3">
        <v>14</v>
      </c>
      <c r="G125" s="3">
        <v>0</v>
      </c>
      <c r="H125" s="3">
        <v>179.51</v>
      </c>
      <c r="I125" s="4">
        <v>45613</v>
      </c>
      <c r="J125" s="4">
        <f t="shared" ca="1" si="1"/>
        <v>46303.639034259257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>
      <c r="A126" s="3" t="s">
        <v>72</v>
      </c>
      <c r="B126" s="3" t="s">
        <v>17</v>
      </c>
      <c r="C126" s="3" t="s">
        <v>34</v>
      </c>
      <c r="D126" s="3" t="s">
        <v>15</v>
      </c>
      <c r="E126" s="3">
        <v>1277.8499999999999</v>
      </c>
      <c r="F126" s="3">
        <v>18</v>
      </c>
      <c r="G126" s="3">
        <v>0.2</v>
      </c>
      <c r="H126" s="3">
        <v>511.14</v>
      </c>
      <c r="I126" s="4">
        <v>45613</v>
      </c>
      <c r="J126" s="4">
        <f t="shared" ca="1" si="1"/>
        <v>46303.639034259257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>
      <c r="A127" s="3" t="s">
        <v>70</v>
      </c>
      <c r="B127" s="3" t="s">
        <v>23</v>
      </c>
      <c r="C127" s="3" t="s">
        <v>24</v>
      </c>
      <c r="D127" s="3" t="s">
        <v>21</v>
      </c>
      <c r="E127" s="3">
        <v>706.73</v>
      </c>
      <c r="F127" s="3">
        <v>1</v>
      </c>
      <c r="G127" s="3">
        <v>0.15</v>
      </c>
      <c r="H127" s="3">
        <v>150.18</v>
      </c>
      <c r="I127" s="4">
        <v>45613</v>
      </c>
      <c r="J127" s="4">
        <f t="shared" ca="1" si="1"/>
        <v>46303.639034259257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>
      <c r="A128" s="3" t="s">
        <v>65</v>
      </c>
      <c r="B128" s="3" t="s">
        <v>50</v>
      </c>
      <c r="C128" s="3" t="s">
        <v>18</v>
      </c>
      <c r="D128" s="3" t="s">
        <v>21</v>
      </c>
      <c r="E128" s="3">
        <v>1410.59</v>
      </c>
      <c r="F128" s="3">
        <v>15</v>
      </c>
      <c r="G128" s="3">
        <v>0</v>
      </c>
      <c r="H128" s="3">
        <v>352.65</v>
      </c>
      <c r="I128" s="4">
        <v>45615</v>
      </c>
      <c r="J128" s="4">
        <f t="shared" ca="1" si="1"/>
        <v>46303.639034259257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>
      <c r="A129" s="3" t="s">
        <v>32</v>
      </c>
      <c r="B129" s="3" t="s">
        <v>61</v>
      </c>
      <c r="C129" s="3" t="s">
        <v>20</v>
      </c>
      <c r="D129" s="3" t="s">
        <v>27</v>
      </c>
      <c r="E129" s="3">
        <v>1350.33</v>
      </c>
      <c r="F129" s="3">
        <v>10</v>
      </c>
      <c r="G129" s="3">
        <v>0</v>
      </c>
      <c r="H129" s="3">
        <v>472.62</v>
      </c>
      <c r="I129" s="4">
        <v>45615</v>
      </c>
      <c r="J129" s="4">
        <f t="shared" ca="1" si="1"/>
        <v>46303.639034259257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>
      <c r="A130" s="3" t="s">
        <v>41</v>
      </c>
      <c r="B130" s="3" t="s">
        <v>45</v>
      </c>
      <c r="C130" s="3" t="s">
        <v>18</v>
      </c>
      <c r="D130" s="3" t="s">
        <v>21</v>
      </c>
      <c r="E130" s="3">
        <v>919.18</v>
      </c>
      <c r="F130" s="3">
        <v>4</v>
      </c>
      <c r="G130" s="3">
        <v>0.15</v>
      </c>
      <c r="H130" s="3">
        <v>195.33</v>
      </c>
      <c r="I130" s="4">
        <v>45615</v>
      </c>
      <c r="J130" s="4">
        <f t="shared" ca="1" si="1"/>
        <v>46303.639034259257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>
      <c r="A131" s="3" t="s">
        <v>74</v>
      </c>
      <c r="B131" s="3" t="s">
        <v>23</v>
      </c>
      <c r="C131" s="3" t="s">
        <v>11</v>
      </c>
      <c r="D131" s="3" t="s">
        <v>21</v>
      </c>
      <c r="E131" s="3">
        <v>258.51</v>
      </c>
      <c r="F131" s="3">
        <v>19</v>
      </c>
      <c r="G131" s="3">
        <v>0</v>
      </c>
      <c r="H131" s="3">
        <v>64.63</v>
      </c>
      <c r="I131" s="4">
        <v>45616</v>
      </c>
      <c r="J131" s="4">
        <f t="shared" ref="J131:J194" ca="1" si="2">NOW()</f>
        <v>46303.639034259257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>
      <c r="A132" s="3" t="s">
        <v>63</v>
      </c>
      <c r="B132" s="3" t="s">
        <v>61</v>
      </c>
      <c r="C132" s="3" t="s">
        <v>18</v>
      </c>
      <c r="D132" s="3" t="s">
        <v>12</v>
      </c>
      <c r="E132" s="3">
        <v>1213.48</v>
      </c>
      <c r="F132" s="3">
        <v>5</v>
      </c>
      <c r="G132" s="3">
        <v>0.05</v>
      </c>
      <c r="H132" s="3">
        <v>461.12</v>
      </c>
      <c r="I132" s="4">
        <v>45616</v>
      </c>
      <c r="J132" s="4">
        <f t="shared" ca="1" si="2"/>
        <v>46303.639034259257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>
      <c r="A133" s="3" t="s">
        <v>57</v>
      </c>
      <c r="B133" s="3" t="s">
        <v>38</v>
      </c>
      <c r="C133" s="3" t="s">
        <v>34</v>
      </c>
      <c r="D133" s="3" t="s">
        <v>12</v>
      </c>
      <c r="E133" s="3">
        <v>1150.28</v>
      </c>
      <c r="F133" s="3">
        <v>8</v>
      </c>
      <c r="G133" s="3">
        <v>0.05</v>
      </c>
      <c r="H133" s="3">
        <v>437.11</v>
      </c>
      <c r="I133" s="4">
        <v>45622</v>
      </c>
      <c r="J133" s="4">
        <f t="shared" ca="1" si="2"/>
        <v>46303.639034259257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>
      <c r="A134" s="3" t="s">
        <v>37</v>
      </c>
      <c r="B134" s="3" t="s">
        <v>71</v>
      </c>
      <c r="C134" s="3" t="s">
        <v>20</v>
      </c>
      <c r="D134" s="3" t="s">
        <v>27</v>
      </c>
      <c r="E134" s="3">
        <v>853.86</v>
      </c>
      <c r="F134" s="3">
        <v>8</v>
      </c>
      <c r="G134" s="3">
        <v>0.1</v>
      </c>
      <c r="H134" s="3">
        <v>268.97000000000003</v>
      </c>
      <c r="I134" s="4">
        <v>45622</v>
      </c>
      <c r="J134" s="4">
        <f t="shared" ca="1" si="2"/>
        <v>46303.639034259257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>
      <c r="A135" s="3" t="s">
        <v>75</v>
      </c>
      <c r="B135" s="3" t="s">
        <v>45</v>
      </c>
      <c r="C135" s="3" t="s">
        <v>20</v>
      </c>
      <c r="D135" s="3" t="s">
        <v>21</v>
      </c>
      <c r="E135" s="3">
        <v>1061.04</v>
      </c>
      <c r="F135" s="3">
        <v>1</v>
      </c>
      <c r="G135" s="3">
        <v>0</v>
      </c>
      <c r="H135" s="3">
        <v>265.26</v>
      </c>
      <c r="I135" s="4">
        <v>45624</v>
      </c>
      <c r="J135" s="4">
        <f t="shared" ca="1" si="2"/>
        <v>46303.639034259257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>
      <c r="A136" s="3" t="s">
        <v>28</v>
      </c>
      <c r="B136" s="3" t="s">
        <v>43</v>
      </c>
      <c r="C136" s="3" t="s">
        <v>11</v>
      </c>
      <c r="D136" s="3" t="s">
        <v>21</v>
      </c>
      <c r="E136" s="3">
        <v>894.55</v>
      </c>
      <c r="F136" s="3">
        <v>19</v>
      </c>
      <c r="G136" s="3">
        <v>0.2</v>
      </c>
      <c r="H136" s="3">
        <v>178.91</v>
      </c>
      <c r="I136" s="4">
        <v>45625</v>
      </c>
      <c r="J136" s="4">
        <f t="shared" ca="1" si="2"/>
        <v>46303.639034259257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>
      <c r="A137" s="3" t="s">
        <v>25</v>
      </c>
      <c r="B137" s="3" t="s">
        <v>38</v>
      </c>
      <c r="C137" s="3" t="s">
        <v>24</v>
      </c>
      <c r="D137" s="3" t="s">
        <v>39</v>
      </c>
      <c r="E137" s="3">
        <v>833.91</v>
      </c>
      <c r="F137" s="3">
        <v>3</v>
      </c>
      <c r="G137" s="3">
        <v>0.05</v>
      </c>
      <c r="H137" s="3">
        <v>356.5</v>
      </c>
      <c r="I137" s="4">
        <v>45626</v>
      </c>
      <c r="J137" s="4">
        <f t="shared" ca="1" si="2"/>
        <v>46303.639034259257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>
      <c r="A138" s="3" t="s">
        <v>58</v>
      </c>
      <c r="B138" s="3" t="s">
        <v>71</v>
      </c>
      <c r="C138" s="3" t="s">
        <v>11</v>
      </c>
      <c r="D138" s="3" t="s">
        <v>27</v>
      </c>
      <c r="E138" s="3">
        <v>820.19</v>
      </c>
      <c r="F138" s="3">
        <v>4</v>
      </c>
      <c r="G138" s="3">
        <v>0.2</v>
      </c>
      <c r="H138" s="3">
        <v>229.65</v>
      </c>
      <c r="I138" s="4">
        <v>45630</v>
      </c>
      <c r="J138" s="4">
        <f t="shared" ca="1" si="2"/>
        <v>46303.639034259257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>
      <c r="A139" s="3" t="s">
        <v>58</v>
      </c>
      <c r="B139" s="3" t="s">
        <v>38</v>
      </c>
      <c r="C139" s="3" t="s">
        <v>34</v>
      </c>
      <c r="D139" s="3" t="s">
        <v>21</v>
      </c>
      <c r="E139" s="3">
        <v>511.74</v>
      </c>
      <c r="F139" s="3">
        <v>8</v>
      </c>
      <c r="G139" s="3">
        <v>0.05</v>
      </c>
      <c r="H139" s="3">
        <v>121.54</v>
      </c>
      <c r="I139" s="4">
        <v>45631</v>
      </c>
      <c r="J139" s="4">
        <f t="shared" ca="1" si="2"/>
        <v>46303.639034259257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>
      <c r="A140" s="3" t="s">
        <v>65</v>
      </c>
      <c r="B140" s="3" t="s">
        <v>61</v>
      </c>
      <c r="C140" s="3" t="s">
        <v>20</v>
      </c>
      <c r="D140" s="3" t="s">
        <v>27</v>
      </c>
      <c r="E140" s="3">
        <v>806.03</v>
      </c>
      <c r="F140" s="3">
        <v>19</v>
      </c>
      <c r="G140" s="3">
        <v>0.05</v>
      </c>
      <c r="H140" s="3">
        <v>268</v>
      </c>
      <c r="I140" s="4">
        <v>45638</v>
      </c>
      <c r="J140" s="4">
        <f t="shared" ca="1" si="2"/>
        <v>46303.639034259257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>
      <c r="A141" s="3" t="s">
        <v>28</v>
      </c>
      <c r="B141" s="3" t="s">
        <v>26</v>
      </c>
      <c r="C141" s="3" t="s">
        <v>34</v>
      </c>
      <c r="D141" s="3" t="s">
        <v>27</v>
      </c>
      <c r="E141" s="3">
        <v>1432.47</v>
      </c>
      <c r="F141" s="3">
        <v>16</v>
      </c>
      <c r="G141" s="3">
        <v>0.15</v>
      </c>
      <c r="H141" s="3">
        <v>426.16</v>
      </c>
      <c r="I141" s="4">
        <v>45640</v>
      </c>
      <c r="J141" s="4">
        <f t="shared" ca="1" si="2"/>
        <v>46303.639034259257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>
      <c r="A142" s="3" t="s">
        <v>74</v>
      </c>
      <c r="B142" s="3" t="s">
        <v>29</v>
      </c>
      <c r="C142" s="3" t="s">
        <v>34</v>
      </c>
      <c r="D142" s="3" t="s">
        <v>21</v>
      </c>
      <c r="E142" s="3">
        <v>1488.58</v>
      </c>
      <c r="F142" s="3">
        <v>10</v>
      </c>
      <c r="G142" s="3">
        <v>0.15</v>
      </c>
      <c r="H142" s="3">
        <v>316.32</v>
      </c>
      <c r="I142" s="4">
        <v>45640</v>
      </c>
      <c r="J142" s="4">
        <f t="shared" ca="1" si="2"/>
        <v>46303.639034259257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>
      <c r="A143" s="3" t="s">
        <v>30</v>
      </c>
      <c r="B143" s="3" t="s">
        <v>66</v>
      </c>
      <c r="C143" s="3" t="s">
        <v>18</v>
      </c>
      <c r="D143" s="3" t="s">
        <v>12</v>
      </c>
      <c r="E143" s="3">
        <v>1231.26</v>
      </c>
      <c r="F143" s="3">
        <v>9</v>
      </c>
      <c r="G143" s="3">
        <v>0</v>
      </c>
      <c r="H143" s="3">
        <v>492.5</v>
      </c>
      <c r="I143" s="4">
        <v>45646</v>
      </c>
      <c r="J143" s="4">
        <f t="shared" ca="1" si="2"/>
        <v>46303.639034259257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>
      <c r="A144" s="3" t="s">
        <v>30</v>
      </c>
      <c r="B144" s="3" t="s">
        <v>43</v>
      </c>
      <c r="C144" s="3" t="s">
        <v>11</v>
      </c>
      <c r="D144" s="3" t="s">
        <v>21</v>
      </c>
      <c r="E144" s="3">
        <v>1161.67</v>
      </c>
      <c r="F144" s="3">
        <v>19</v>
      </c>
      <c r="G144" s="3">
        <v>0.2</v>
      </c>
      <c r="H144" s="3">
        <v>232.33</v>
      </c>
      <c r="I144" s="4">
        <v>45647</v>
      </c>
      <c r="J144" s="4">
        <f t="shared" ca="1" si="2"/>
        <v>46303.639034259257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>
      <c r="A145" s="3" t="s">
        <v>49</v>
      </c>
      <c r="B145" s="3" t="s">
        <v>45</v>
      </c>
      <c r="C145" s="3" t="s">
        <v>34</v>
      </c>
      <c r="D145" s="3" t="s">
        <v>39</v>
      </c>
      <c r="E145" s="3">
        <v>388.23</v>
      </c>
      <c r="F145" s="3">
        <v>16</v>
      </c>
      <c r="G145" s="3">
        <v>0.05</v>
      </c>
      <c r="H145" s="3">
        <v>165.97</v>
      </c>
      <c r="I145" s="4">
        <v>45650</v>
      </c>
      <c r="J145" s="4">
        <f t="shared" ca="1" si="2"/>
        <v>46303.639034259257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>
      <c r="A146" s="3" t="s">
        <v>72</v>
      </c>
      <c r="B146" s="3" t="s">
        <v>31</v>
      </c>
      <c r="C146" s="3" t="s">
        <v>24</v>
      </c>
      <c r="D146" s="3" t="s">
        <v>15</v>
      </c>
      <c r="E146" s="3">
        <v>1589.42</v>
      </c>
      <c r="F146" s="3">
        <v>6</v>
      </c>
      <c r="G146" s="3">
        <v>0.15</v>
      </c>
      <c r="H146" s="3">
        <v>675.5</v>
      </c>
      <c r="I146" s="4">
        <v>45651</v>
      </c>
      <c r="J146" s="4">
        <f t="shared" ca="1" si="2"/>
        <v>46303.639034259257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>
      <c r="A147" s="3" t="s">
        <v>28</v>
      </c>
      <c r="B147" s="3" t="s">
        <v>71</v>
      </c>
      <c r="C147" s="3" t="s">
        <v>24</v>
      </c>
      <c r="D147" s="3" t="s">
        <v>15</v>
      </c>
      <c r="E147" s="3">
        <v>336.66</v>
      </c>
      <c r="F147" s="3">
        <v>13</v>
      </c>
      <c r="G147" s="3">
        <v>0.2</v>
      </c>
      <c r="H147" s="3">
        <v>134.66</v>
      </c>
      <c r="I147" s="4">
        <v>45651</v>
      </c>
      <c r="J147" s="4">
        <f t="shared" ca="1" si="2"/>
        <v>46303.639034259257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>
      <c r="A148" s="3" t="s">
        <v>49</v>
      </c>
      <c r="B148" s="3" t="s">
        <v>23</v>
      </c>
      <c r="C148" s="3" t="s">
        <v>11</v>
      </c>
      <c r="D148" s="3" t="s">
        <v>12</v>
      </c>
      <c r="E148" s="3">
        <v>1353.79</v>
      </c>
      <c r="F148" s="3">
        <v>14</v>
      </c>
      <c r="G148" s="3">
        <v>0.1</v>
      </c>
      <c r="H148" s="3">
        <v>487.36</v>
      </c>
      <c r="I148" s="4">
        <v>45656</v>
      </c>
      <c r="J148" s="4">
        <f t="shared" ca="1" si="2"/>
        <v>46303.639034259257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>
      <c r="A149" s="3" t="s">
        <v>63</v>
      </c>
      <c r="B149" s="3" t="s">
        <v>69</v>
      </c>
      <c r="C149" s="3" t="s">
        <v>34</v>
      </c>
      <c r="D149" s="3" t="s">
        <v>15</v>
      </c>
      <c r="E149" s="3">
        <v>662.61</v>
      </c>
      <c r="F149" s="3">
        <v>11</v>
      </c>
      <c r="G149" s="3">
        <v>0.05</v>
      </c>
      <c r="H149" s="3">
        <v>314.74</v>
      </c>
      <c r="I149" s="4">
        <v>45658</v>
      </c>
      <c r="J149" s="4">
        <f t="shared" ca="1" si="2"/>
        <v>46303.639034259257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>
      <c r="A150" s="3" t="s">
        <v>52</v>
      </c>
      <c r="B150" s="3" t="s">
        <v>48</v>
      </c>
      <c r="C150" s="3" t="s">
        <v>24</v>
      </c>
      <c r="D150" s="3" t="s">
        <v>39</v>
      </c>
      <c r="E150" s="3">
        <v>309.42</v>
      </c>
      <c r="F150" s="3">
        <v>1</v>
      </c>
      <c r="G150" s="3">
        <v>0.2</v>
      </c>
      <c r="H150" s="3">
        <v>111.39</v>
      </c>
      <c r="I150" s="4">
        <v>45658</v>
      </c>
      <c r="J150" s="4">
        <f t="shared" ca="1" si="2"/>
        <v>46303.639034259257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>
      <c r="A151" s="3" t="s">
        <v>63</v>
      </c>
      <c r="B151" s="3" t="s">
        <v>29</v>
      </c>
      <c r="C151" s="3" t="s">
        <v>24</v>
      </c>
      <c r="D151" s="3" t="s">
        <v>12</v>
      </c>
      <c r="E151" s="3">
        <v>884.63</v>
      </c>
      <c r="F151" s="3">
        <v>18</v>
      </c>
      <c r="G151" s="3">
        <v>0.1</v>
      </c>
      <c r="H151" s="3">
        <v>318.47000000000003</v>
      </c>
      <c r="I151" s="4">
        <v>45659</v>
      </c>
      <c r="J151" s="4">
        <f t="shared" ca="1" si="2"/>
        <v>46303.639034259257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>
      <c r="A152" s="3" t="s">
        <v>52</v>
      </c>
      <c r="B152" s="3" t="s">
        <v>23</v>
      </c>
      <c r="C152" s="3" t="s">
        <v>34</v>
      </c>
      <c r="D152" s="3" t="s">
        <v>39</v>
      </c>
      <c r="E152" s="3">
        <v>745.05</v>
      </c>
      <c r="F152" s="3">
        <v>10</v>
      </c>
      <c r="G152" s="3">
        <v>0.1</v>
      </c>
      <c r="H152" s="3">
        <v>301.75</v>
      </c>
      <c r="I152" s="4">
        <v>45660</v>
      </c>
      <c r="J152" s="4">
        <f t="shared" ca="1" si="2"/>
        <v>46303.639034259257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>
      <c r="A153" s="3" t="s">
        <v>60</v>
      </c>
      <c r="B153" s="3" t="s">
        <v>17</v>
      </c>
      <c r="C153" s="3" t="s">
        <v>20</v>
      </c>
      <c r="D153" s="3" t="s">
        <v>15</v>
      </c>
      <c r="E153" s="3">
        <v>870.23</v>
      </c>
      <c r="F153" s="3">
        <v>5</v>
      </c>
      <c r="G153" s="3">
        <v>0.05</v>
      </c>
      <c r="H153" s="3">
        <v>413.36</v>
      </c>
      <c r="I153" s="4">
        <v>45660</v>
      </c>
      <c r="J153" s="4">
        <f t="shared" ca="1" si="2"/>
        <v>46303.639034259257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>
      <c r="A154" s="3" t="s">
        <v>35</v>
      </c>
      <c r="B154" s="3" t="s">
        <v>29</v>
      </c>
      <c r="C154" s="3" t="s">
        <v>11</v>
      </c>
      <c r="D154" s="3" t="s">
        <v>27</v>
      </c>
      <c r="E154" s="3">
        <v>862.19</v>
      </c>
      <c r="F154" s="3">
        <v>18</v>
      </c>
      <c r="G154" s="3">
        <v>0.05</v>
      </c>
      <c r="H154" s="3">
        <v>286.68</v>
      </c>
      <c r="I154" s="4">
        <v>45663</v>
      </c>
      <c r="J154" s="4">
        <f t="shared" ca="1" si="2"/>
        <v>46303.639034259257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>
      <c r="A155" s="3" t="s">
        <v>73</v>
      </c>
      <c r="B155" s="3" t="s">
        <v>59</v>
      </c>
      <c r="C155" s="3" t="s">
        <v>24</v>
      </c>
      <c r="D155" s="3" t="s">
        <v>15</v>
      </c>
      <c r="E155" s="3">
        <v>1171.18</v>
      </c>
      <c r="F155" s="3">
        <v>19</v>
      </c>
      <c r="G155" s="3">
        <v>0.05</v>
      </c>
      <c r="H155" s="3">
        <v>556.30999999999995</v>
      </c>
      <c r="I155" s="4">
        <v>45667</v>
      </c>
      <c r="J155" s="4">
        <f t="shared" ca="1" si="2"/>
        <v>46303.639034259257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>
      <c r="A156" s="3" t="s">
        <v>58</v>
      </c>
      <c r="B156" s="3" t="s">
        <v>14</v>
      </c>
      <c r="C156" s="3" t="s">
        <v>20</v>
      </c>
      <c r="D156" s="3" t="s">
        <v>27</v>
      </c>
      <c r="E156" s="3">
        <v>1054.56</v>
      </c>
      <c r="F156" s="3">
        <v>11</v>
      </c>
      <c r="G156" s="3">
        <v>0.1</v>
      </c>
      <c r="H156" s="3">
        <v>332.19</v>
      </c>
      <c r="I156" s="4">
        <v>45669</v>
      </c>
      <c r="J156" s="4">
        <f t="shared" ca="1" si="2"/>
        <v>46303.639034259257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>
      <c r="A157" s="3" t="s">
        <v>58</v>
      </c>
      <c r="B157" s="3" t="s">
        <v>23</v>
      </c>
      <c r="C157" s="3" t="s">
        <v>24</v>
      </c>
      <c r="D157" s="3" t="s">
        <v>21</v>
      </c>
      <c r="E157" s="3">
        <v>1681.21</v>
      </c>
      <c r="F157" s="3">
        <v>5</v>
      </c>
      <c r="G157" s="3">
        <v>0.2</v>
      </c>
      <c r="H157" s="3">
        <v>336.24</v>
      </c>
      <c r="I157" s="4">
        <v>45670</v>
      </c>
      <c r="J157" s="4">
        <f t="shared" ca="1" si="2"/>
        <v>46303.639034259257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>
      <c r="A158" s="3" t="s">
        <v>58</v>
      </c>
      <c r="B158" s="3" t="s">
        <v>36</v>
      </c>
      <c r="C158" s="3" t="s">
        <v>11</v>
      </c>
      <c r="D158" s="3" t="s">
        <v>15</v>
      </c>
      <c r="E158" s="3">
        <v>379.77</v>
      </c>
      <c r="F158" s="3">
        <v>9</v>
      </c>
      <c r="G158" s="3">
        <v>0.05</v>
      </c>
      <c r="H158" s="3">
        <v>180.39</v>
      </c>
      <c r="I158" s="4">
        <v>45673</v>
      </c>
      <c r="J158" s="4">
        <f t="shared" ca="1" si="2"/>
        <v>46303.639034259257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>
      <c r="A159" s="3" t="s">
        <v>44</v>
      </c>
      <c r="B159" s="3" t="s">
        <v>45</v>
      </c>
      <c r="C159" s="3" t="s">
        <v>34</v>
      </c>
      <c r="D159" s="3" t="s">
        <v>15</v>
      </c>
      <c r="E159" s="3">
        <v>1076.33</v>
      </c>
      <c r="F159" s="3">
        <v>2</v>
      </c>
      <c r="G159" s="3">
        <v>0.1</v>
      </c>
      <c r="H159" s="3">
        <v>484.35</v>
      </c>
      <c r="I159" s="4">
        <v>45674</v>
      </c>
      <c r="J159" s="4">
        <f t="shared" ca="1" si="2"/>
        <v>46303.639034259257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>
      <c r="A160" s="3" t="s">
        <v>44</v>
      </c>
      <c r="B160" s="3" t="s">
        <v>31</v>
      </c>
      <c r="C160" s="3" t="s">
        <v>34</v>
      </c>
      <c r="D160" s="3" t="s">
        <v>39</v>
      </c>
      <c r="E160" s="3">
        <v>1250.71</v>
      </c>
      <c r="F160" s="3">
        <v>7</v>
      </c>
      <c r="G160" s="3">
        <v>0</v>
      </c>
      <c r="H160" s="3">
        <v>562.82000000000005</v>
      </c>
      <c r="I160" s="4">
        <v>45674</v>
      </c>
      <c r="J160" s="4">
        <f t="shared" ca="1" si="2"/>
        <v>46303.639034259257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>
      <c r="A161" s="3" t="s">
        <v>40</v>
      </c>
      <c r="B161" s="3" t="s">
        <v>17</v>
      </c>
      <c r="C161" s="3" t="s">
        <v>20</v>
      </c>
      <c r="D161" s="3" t="s">
        <v>15</v>
      </c>
      <c r="E161" s="3">
        <v>1118.3399999999999</v>
      </c>
      <c r="F161" s="3">
        <v>6</v>
      </c>
      <c r="G161" s="3">
        <v>0.2</v>
      </c>
      <c r="H161" s="3">
        <v>447.34</v>
      </c>
      <c r="I161" s="4">
        <v>45674</v>
      </c>
      <c r="J161" s="4">
        <f t="shared" ca="1" si="2"/>
        <v>46303.639034259257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>
      <c r="A162" s="3" t="s">
        <v>70</v>
      </c>
      <c r="B162" s="3" t="s">
        <v>53</v>
      </c>
      <c r="C162" s="3" t="s">
        <v>24</v>
      </c>
      <c r="D162" s="3" t="s">
        <v>15</v>
      </c>
      <c r="E162" s="3">
        <v>1622.62</v>
      </c>
      <c r="F162" s="3">
        <v>12</v>
      </c>
      <c r="G162" s="3">
        <v>0.2</v>
      </c>
      <c r="H162" s="3">
        <v>649.04999999999995</v>
      </c>
      <c r="I162" s="4">
        <v>45677</v>
      </c>
      <c r="J162" s="4">
        <f t="shared" ca="1" si="2"/>
        <v>46303.639034259257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>
      <c r="A163" s="3" t="s">
        <v>75</v>
      </c>
      <c r="B163" s="3" t="s">
        <v>48</v>
      </c>
      <c r="C163" s="3" t="s">
        <v>24</v>
      </c>
      <c r="D163" s="3" t="s">
        <v>12</v>
      </c>
      <c r="E163" s="3">
        <v>640.64</v>
      </c>
      <c r="F163" s="3">
        <v>11</v>
      </c>
      <c r="G163" s="3">
        <v>0.2</v>
      </c>
      <c r="H163" s="3">
        <v>205</v>
      </c>
      <c r="I163" s="4">
        <v>45678</v>
      </c>
      <c r="J163" s="4">
        <f t="shared" ca="1" si="2"/>
        <v>46303.639034259257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>
      <c r="A164" s="3" t="s">
        <v>22</v>
      </c>
      <c r="B164" s="3" t="s">
        <v>43</v>
      </c>
      <c r="C164" s="3" t="s">
        <v>11</v>
      </c>
      <c r="D164" s="3" t="s">
        <v>15</v>
      </c>
      <c r="E164" s="3">
        <v>585.16</v>
      </c>
      <c r="F164" s="3">
        <v>17</v>
      </c>
      <c r="G164" s="3">
        <v>0.1</v>
      </c>
      <c r="H164" s="3">
        <v>263.32</v>
      </c>
      <c r="I164" s="4">
        <v>45684</v>
      </c>
      <c r="J164" s="4">
        <f t="shared" ca="1" si="2"/>
        <v>46303.639034259257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>
      <c r="A165" s="3" t="s">
        <v>22</v>
      </c>
      <c r="B165" s="3" t="s">
        <v>31</v>
      </c>
      <c r="C165" s="3" t="s">
        <v>18</v>
      </c>
      <c r="D165" s="3" t="s">
        <v>15</v>
      </c>
      <c r="E165" s="3">
        <v>1109.98</v>
      </c>
      <c r="F165" s="3">
        <v>5</v>
      </c>
      <c r="G165" s="3">
        <v>0.2</v>
      </c>
      <c r="H165" s="3">
        <v>443.99</v>
      </c>
      <c r="I165" s="4">
        <v>45690</v>
      </c>
      <c r="J165" s="4">
        <f t="shared" ca="1" si="2"/>
        <v>46303.639034259257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>
      <c r="A166" s="3" t="s">
        <v>58</v>
      </c>
      <c r="B166" s="3" t="s">
        <v>45</v>
      </c>
      <c r="C166" s="3" t="s">
        <v>18</v>
      </c>
      <c r="D166" s="3" t="s">
        <v>12</v>
      </c>
      <c r="E166" s="3">
        <v>1098.08</v>
      </c>
      <c r="F166" s="3">
        <v>9</v>
      </c>
      <c r="G166" s="3">
        <v>0.1</v>
      </c>
      <c r="H166" s="3">
        <v>395.31</v>
      </c>
      <c r="I166" s="4">
        <v>45692</v>
      </c>
      <c r="J166" s="4">
        <f t="shared" ca="1" si="2"/>
        <v>46303.639034259257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>
      <c r="A167" s="3" t="s">
        <v>65</v>
      </c>
      <c r="B167" s="3" t="s">
        <v>48</v>
      </c>
      <c r="C167" s="3" t="s">
        <v>11</v>
      </c>
      <c r="D167" s="3" t="s">
        <v>39</v>
      </c>
      <c r="E167" s="3">
        <v>827.25</v>
      </c>
      <c r="F167" s="3">
        <v>7</v>
      </c>
      <c r="G167" s="3">
        <v>0.1</v>
      </c>
      <c r="H167" s="3">
        <v>335.04</v>
      </c>
      <c r="I167" s="4">
        <v>45693</v>
      </c>
      <c r="J167" s="4">
        <f t="shared" ca="1" si="2"/>
        <v>46303.639034259257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>
      <c r="A168" s="3" t="s">
        <v>70</v>
      </c>
      <c r="B168" s="3" t="s">
        <v>29</v>
      </c>
      <c r="C168" s="3" t="s">
        <v>34</v>
      </c>
      <c r="D168" s="3" t="s">
        <v>15</v>
      </c>
      <c r="E168" s="3">
        <v>741.88</v>
      </c>
      <c r="F168" s="3">
        <v>16</v>
      </c>
      <c r="G168" s="3">
        <v>0.1</v>
      </c>
      <c r="H168" s="3">
        <v>333.85</v>
      </c>
      <c r="I168" s="4">
        <v>45695</v>
      </c>
      <c r="J168" s="4">
        <f t="shared" ca="1" si="2"/>
        <v>46303.639034259257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>
      <c r="A169" s="3" t="s">
        <v>72</v>
      </c>
      <c r="B169" s="3" t="s">
        <v>10</v>
      </c>
      <c r="C169" s="3" t="s">
        <v>18</v>
      </c>
      <c r="D169" s="3" t="s">
        <v>39</v>
      </c>
      <c r="E169" s="3">
        <v>1311.26</v>
      </c>
      <c r="F169" s="3">
        <v>6</v>
      </c>
      <c r="G169" s="3">
        <v>0.1</v>
      </c>
      <c r="H169" s="3">
        <v>531.05999999999995</v>
      </c>
      <c r="I169" s="4">
        <v>45698</v>
      </c>
      <c r="J169" s="4">
        <f t="shared" ca="1" si="2"/>
        <v>46303.639034259257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>
      <c r="A170" s="3" t="s">
        <v>72</v>
      </c>
      <c r="B170" s="3" t="s">
        <v>31</v>
      </c>
      <c r="C170" s="3" t="s">
        <v>20</v>
      </c>
      <c r="D170" s="3" t="s">
        <v>39</v>
      </c>
      <c r="E170" s="3">
        <v>573.32000000000005</v>
      </c>
      <c r="F170" s="3">
        <v>19</v>
      </c>
      <c r="G170" s="3">
        <v>0.1</v>
      </c>
      <c r="H170" s="3">
        <v>232.19</v>
      </c>
      <c r="I170" s="4">
        <v>45703</v>
      </c>
      <c r="J170" s="4">
        <f t="shared" ca="1" si="2"/>
        <v>46303.639034259257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>
      <c r="A171" s="3" t="s">
        <v>52</v>
      </c>
      <c r="B171" s="3" t="s">
        <v>23</v>
      </c>
      <c r="C171" s="3" t="s">
        <v>11</v>
      </c>
      <c r="D171" s="3" t="s">
        <v>21</v>
      </c>
      <c r="E171" s="3">
        <v>1115.22</v>
      </c>
      <c r="F171" s="3">
        <v>14</v>
      </c>
      <c r="G171" s="3">
        <v>0.2</v>
      </c>
      <c r="H171" s="3">
        <v>223.04</v>
      </c>
      <c r="I171" s="4">
        <v>45705</v>
      </c>
      <c r="J171" s="4">
        <f t="shared" ca="1" si="2"/>
        <v>46303.639034259257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>
      <c r="A172" s="3" t="s">
        <v>13</v>
      </c>
      <c r="B172" s="3" t="s">
        <v>45</v>
      </c>
      <c r="C172" s="3" t="s">
        <v>24</v>
      </c>
      <c r="D172" s="3" t="s">
        <v>15</v>
      </c>
      <c r="E172" s="3">
        <v>845.84</v>
      </c>
      <c r="F172" s="3">
        <v>4</v>
      </c>
      <c r="G172" s="3">
        <v>0</v>
      </c>
      <c r="H172" s="3">
        <v>422.92</v>
      </c>
      <c r="I172" s="4">
        <v>45707</v>
      </c>
      <c r="J172" s="4">
        <f t="shared" ca="1" si="2"/>
        <v>46303.639034259257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>
      <c r="A173" s="3" t="s">
        <v>30</v>
      </c>
      <c r="B173" s="3" t="s">
        <v>55</v>
      </c>
      <c r="C173" s="3" t="s">
        <v>11</v>
      </c>
      <c r="D173" s="3" t="s">
        <v>21</v>
      </c>
      <c r="E173" s="3">
        <v>1029.8</v>
      </c>
      <c r="F173" s="3">
        <v>3</v>
      </c>
      <c r="G173" s="3">
        <v>0</v>
      </c>
      <c r="H173" s="3">
        <v>257.45</v>
      </c>
      <c r="I173" s="4">
        <v>45708</v>
      </c>
      <c r="J173" s="4">
        <f t="shared" ca="1" si="2"/>
        <v>46303.639034259257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>
      <c r="A174" s="3" t="s">
        <v>32</v>
      </c>
      <c r="B174" s="3" t="s">
        <v>31</v>
      </c>
      <c r="C174" s="3" t="s">
        <v>24</v>
      </c>
      <c r="D174" s="3" t="s">
        <v>12</v>
      </c>
      <c r="E174" s="3">
        <v>1189.83</v>
      </c>
      <c r="F174" s="3">
        <v>2</v>
      </c>
      <c r="G174" s="3">
        <v>0.2</v>
      </c>
      <c r="H174" s="3">
        <v>380.75</v>
      </c>
      <c r="I174" s="4">
        <v>45709</v>
      </c>
      <c r="J174" s="4">
        <f t="shared" ca="1" si="2"/>
        <v>46303.639034259257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>
      <c r="A175" s="3" t="s">
        <v>67</v>
      </c>
      <c r="B175" s="3" t="s">
        <v>43</v>
      </c>
      <c r="C175" s="3" t="s">
        <v>20</v>
      </c>
      <c r="D175" s="3" t="s">
        <v>12</v>
      </c>
      <c r="E175" s="3">
        <v>704.28</v>
      </c>
      <c r="F175" s="3">
        <v>15</v>
      </c>
      <c r="G175" s="3">
        <v>0.2</v>
      </c>
      <c r="H175" s="3">
        <v>225.37</v>
      </c>
      <c r="I175" s="4">
        <v>45712</v>
      </c>
      <c r="J175" s="4">
        <f t="shared" ca="1" si="2"/>
        <v>46303.639034259257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>
      <c r="A176" s="3" t="s">
        <v>65</v>
      </c>
      <c r="B176" s="3" t="s">
        <v>47</v>
      </c>
      <c r="C176" s="3" t="s">
        <v>34</v>
      </c>
      <c r="D176" s="3" t="s">
        <v>39</v>
      </c>
      <c r="E176" s="3">
        <v>1618.22</v>
      </c>
      <c r="F176" s="3">
        <v>12</v>
      </c>
      <c r="G176" s="3">
        <v>0.2</v>
      </c>
      <c r="H176" s="3">
        <v>582.55999999999995</v>
      </c>
      <c r="I176" s="4">
        <v>45712</v>
      </c>
      <c r="J176" s="4">
        <f t="shared" ca="1" si="2"/>
        <v>46303.639034259257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>
      <c r="A177" s="3" t="s">
        <v>73</v>
      </c>
      <c r="B177" s="3" t="s">
        <v>53</v>
      </c>
      <c r="C177" s="3" t="s">
        <v>34</v>
      </c>
      <c r="D177" s="3" t="s">
        <v>12</v>
      </c>
      <c r="E177" s="3">
        <v>1014.43</v>
      </c>
      <c r="F177" s="3">
        <v>2</v>
      </c>
      <c r="G177" s="3">
        <v>0.15</v>
      </c>
      <c r="H177" s="3">
        <v>344.91</v>
      </c>
      <c r="I177" s="4">
        <v>45713</v>
      </c>
      <c r="J177" s="4">
        <f t="shared" ca="1" si="2"/>
        <v>46303.639034259257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>
      <c r="A178" s="3" t="s">
        <v>75</v>
      </c>
      <c r="B178" s="3" t="s">
        <v>31</v>
      </c>
      <c r="C178" s="3" t="s">
        <v>34</v>
      </c>
      <c r="D178" s="3" t="s">
        <v>15</v>
      </c>
      <c r="E178" s="3">
        <v>826.97</v>
      </c>
      <c r="F178" s="3">
        <v>18</v>
      </c>
      <c r="G178" s="3">
        <v>0.2</v>
      </c>
      <c r="H178" s="3">
        <v>330.79</v>
      </c>
      <c r="I178" s="4">
        <v>45715</v>
      </c>
      <c r="J178" s="4">
        <f t="shared" ca="1" si="2"/>
        <v>46303.639034259257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>
      <c r="A179" s="3" t="s">
        <v>16</v>
      </c>
      <c r="B179" s="3" t="s">
        <v>31</v>
      </c>
      <c r="C179" s="3" t="s">
        <v>34</v>
      </c>
      <c r="D179" s="3" t="s">
        <v>15</v>
      </c>
      <c r="E179" s="3">
        <v>1022.23</v>
      </c>
      <c r="F179" s="3">
        <v>8</v>
      </c>
      <c r="G179" s="3">
        <v>0.1</v>
      </c>
      <c r="H179" s="3">
        <v>460</v>
      </c>
      <c r="I179" s="4">
        <v>45717</v>
      </c>
      <c r="J179" s="4">
        <f t="shared" ca="1" si="2"/>
        <v>46303.639034259257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>
      <c r="A180" s="3" t="s">
        <v>72</v>
      </c>
      <c r="B180" s="3" t="s">
        <v>29</v>
      </c>
      <c r="C180" s="3" t="s">
        <v>18</v>
      </c>
      <c r="D180" s="3" t="s">
        <v>12</v>
      </c>
      <c r="E180" s="3">
        <v>1099.69</v>
      </c>
      <c r="F180" s="3">
        <v>6</v>
      </c>
      <c r="G180" s="3">
        <v>0</v>
      </c>
      <c r="H180" s="3">
        <v>439.88</v>
      </c>
      <c r="I180" s="4">
        <v>45718</v>
      </c>
      <c r="J180" s="4">
        <f t="shared" ca="1" si="2"/>
        <v>46303.639034259257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>
      <c r="A181" s="3" t="s">
        <v>52</v>
      </c>
      <c r="B181" s="3" t="s">
        <v>64</v>
      </c>
      <c r="C181" s="3" t="s">
        <v>24</v>
      </c>
      <c r="D181" s="3" t="s">
        <v>12</v>
      </c>
      <c r="E181" s="3">
        <v>710.52</v>
      </c>
      <c r="F181" s="3">
        <v>8</v>
      </c>
      <c r="G181" s="3">
        <v>0.1</v>
      </c>
      <c r="H181" s="3">
        <v>255.79</v>
      </c>
      <c r="I181" s="4">
        <v>45721</v>
      </c>
      <c r="J181" s="4">
        <f t="shared" ca="1" si="2"/>
        <v>46303.639034259257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>
      <c r="A182" s="3" t="s">
        <v>52</v>
      </c>
      <c r="B182" s="3" t="s">
        <v>59</v>
      </c>
      <c r="C182" s="3" t="s">
        <v>24</v>
      </c>
      <c r="D182" s="3" t="s">
        <v>12</v>
      </c>
      <c r="E182" s="3">
        <v>499.18</v>
      </c>
      <c r="F182" s="3">
        <v>15</v>
      </c>
      <c r="G182" s="3">
        <v>0.2</v>
      </c>
      <c r="H182" s="3">
        <v>159.74</v>
      </c>
      <c r="I182" s="4">
        <v>45724</v>
      </c>
      <c r="J182" s="4">
        <f t="shared" ca="1" si="2"/>
        <v>46303.639034259257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>
      <c r="A183" s="3" t="s">
        <v>37</v>
      </c>
      <c r="B183" s="3" t="s">
        <v>38</v>
      </c>
      <c r="C183" s="3" t="s">
        <v>20</v>
      </c>
      <c r="D183" s="3" t="s">
        <v>12</v>
      </c>
      <c r="E183" s="3">
        <v>1064.19</v>
      </c>
      <c r="F183" s="3">
        <v>18</v>
      </c>
      <c r="G183" s="3">
        <v>0.05</v>
      </c>
      <c r="H183" s="3">
        <v>404.39</v>
      </c>
      <c r="I183" s="4">
        <v>45725</v>
      </c>
      <c r="J183" s="4">
        <f t="shared" ca="1" si="2"/>
        <v>46303.639034259257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>
      <c r="A184" s="3" t="s">
        <v>67</v>
      </c>
      <c r="B184" s="3" t="s">
        <v>38</v>
      </c>
      <c r="C184" s="3" t="s">
        <v>18</v>
      </c>
      <c r="D184" s="3" t="s">
        <v>39</v>
      </c>
      <c r="E184" s="3">
        <v>438.76</v>
      </c>
      <c r="F184" s="3">
        <v>18</v>
      </c>
      <c r="G184" s="3">
        <v>0.05</v>
      </c>
      <c r="H184" s="3">
        <v>187.57</v>
      </c>
      <c r="I184" s="4">
        <v>45726</v>
      </c>
      <c r="J184" s="4">
        <f t="shared" ca="1" si="2"/>
        <v>46303.639034259257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>
      <c r="A185" s="3" t="s">
        <v>41</v>
      </c>
      <c r="B185" s="3" t="s">
        <v>55</v>
      </c>
      <c r="C185" s="3" t="s">
        <v>11</v>
      </c>
      <c r="D185" s="3" t="s">
        <v>15</v>
      </c>
      <c r="E185" s="3">
        <v>864.98</v>
      </c>
      <c r="F185" s="3">
        <v>2</v>
      </c>
      <c r="G185" s="3">
        <v>0.05</v>
      </c>
      <c r="H185" s="3">
        <v>410.87</v>
      </c>
      <c r="I185" s="4">
        <v>45727</v>
      </c>
      <c r="J185" s="4">
        <f t="shared" ca="1" si="2"/>
        <v>46303.639034259257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>
      <c r="A186" s="3" t="s">
        <v>57</v>
      </c>
      <c r="B186" s="3" t="s">
        <v>55</v>
      </c>
      <c r="C186" s="3" t="s">
        <v>11</v>
      </c>
      <c r="D186" s="3" t="s">
        <v>27</v>
      </c>
      <c r="E186" s="3">
        <v>984.93</v>
      </c>
      <c r="F186" s="3">
        <v>14</v>
      </c>
      <c r="G186" s="3">
        <v>0.2</v>
      </c>
      <c r="H186" s="3">
        <v>275.77999999999997</v>
      </c>
      <c r="I186" s="4">
        <v>45733</v>
      </c>
      <c r="J186" s="4">
        <f t="shared" ca="1" si="2"/>
        <v>46303.639034259257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>
      <c r="A187" s="3" t="s">
        <v>25</v>
      </c>
      <c r="B187" s="3" t="s">
        <v>55</v>
      </c>
      <c r="C187" s="3" t="s">
        <v>11</v>
      </c>
      <c r="D187" s="3" t="s">
        <v>15</v>
      </c>
      <c r="E187" s="3">
        <v>1493.49</v>
      </c>
      <c r="F187" s="3">
        <v>18</v>
      </c>
      <c r="G187" s="3">
        <v>0</v>
      </c>
      <c r="H187" s="3">
        <v>746.74</v>
      </c>
      <c r="I187" s="4">
        <v>45734</v>
      </c>
      <c r="J187" s="4">
        <f t="shared" ca="1" si="2"/>
        <v>46303.639034259257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>
      <c r="A188" s="3" t="s">
        <v>32</v>
      </c>
      <c r="B188" s="3" t="s">
        <v>53</v>
      </c>
      <c r="C188" s="3" t="s">
        <v>20</v>
      </c>
      <c r="D188" s="3" t="s">
        <v>15</v>
      </c>
      <c r="E188" s="3">
        <v>689.43</v>
      </c>
      <c r="F188" s="3">
        <v>9</v>
      </c>
      <c r="G188" s="3">
        <v>0.1</v>
      </c>
      <c r="H188" s="3">
        <v>310.24</v>
      </c>
      <c r="I188" s="4">
        <v>45736</v>
      </c>
      <c r="J188" s="4">
        <f t="shared" ca="1" si="2"/>
        <v>46303.639034259257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>
      <c r="A189" s="3" t="s">
        <v>40</v>
      </c>
      <c r="B189" s="3" t="s">
        <v>59</v>
      </c>
      <c r="C189" s="3" t="s">
        <v>20</v>
      </c>
      <c r="D189" s="3" t="s">
        <v>15</v>
      </c>
      <c r="E189" s="3">
        <v>682.24</v>
      </c>
      <c r="F189" s="3">
        <v>1</v>
      </c>
      <c r="G189" s="3">
        <v>0</v>
      </c>
      <c r="H189" s="3">
        <v>341.12</v>
      </c>
      <c r="I189" s="4">
        <v>45738</v>
      </c>
      <c r="J189" s="4">
        <f t="shared" ca="1" si="2"/>
        <v>46303.639034259257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>
      <c r="A190" s="3" t="s">
        <v>41</v>
      </c>
      <c r="B190" s="3" t="s">
        <v>26</v>
      </c>
      <c r="C190" s="3" t="s">
        <v>24</v>
      </c>
      <c r="D190" s="3" t="s">
        <v>21</v>
      </c>
      <c r="E190" s="3">
        <v>458.54</v>
      </c>
      <c r="F190" s="3">
        <v>15</v>
      </c>
      <c r="G190" s="3">
        <v>0.2</v>
      </c>
      <c r="H190" s="3">
        <v>91.71</v>
      </c>
      <c r="I190" s="4">
        <v>45741</v>
      </c>
      <c r="J190" s="4">
        <f t="shared" ca="1" si="2"/>
        <v>46303.639034259257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>
      <c r="A191" s="3" t="s">
        <v>32</v>
      </c>
      <c r="B191" s="3" t="s">
        <v>26</v>
      </c>
      <c r="C191" s="3" t="s">
        <v>20</v>
      </c>
      <c r="D191" s="3" t="s">
        <v>27</v>
      </c>
      <c r="E191" s="3">
        <v>1184.25</v>
      </c>
      <c r="F191" s="3">
        <v>11</v>
      </c>
      <c r="G191" s="3">
        <v>0.2</v>
      </c>
      <c r="H191" s="3">
        <v>331.59</v>
      </c>
      <c r="I191" s="4">
        <v>45742</v>
      </c>
      <c r="J191" s="4">
        <f t="shared" ca="1" si="2"/>
        <v>46303.639034259257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>
      <c r="A192" s="3" t="s">
        <v>25</v>
      </c>
      <c r="B192" s="3" t="s">
        <v>10</v>
      </c>
      <c r="C192" s="3" t="s">
        <v>20</v>
      </c>
      <c r="D192" s="3" t="s">
        <v>15</v>
      </c>
      <c r="E192" s="3">
        <v>762.14</v>
      </c>
      <c r="F192" s="3">
        <v>9</v>
      </c>
      <c r="G192" s="3">
        <v>0</v>
      </c>
      <c r="H192" s="3">
        <v>381.07</v>
      </c>
      <c r="I192" s="4">
        <v>45743</v>
      </c>
      <c r="J192" s="4">
        <f t="shared" ca="1" si="2"/>
        <v>46303.639034259257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>
      <c r="A193" s="3" t="s">
        <v>22</v>
      </c>
      <c r="B193" s="3" t="s">
        <v>53</v>
      </c>
      <c r="C193" s="3" t="s">
        <v>24</v>
      </c>
      <c r="D193" s="3" t="s">
        <v>12</v>
      </c>
      <c r="E193" s="3">
        <v>750.71</v>
      </c>
      <c r="F193" s="3">
        <v>10</v>
      </c>
      <c r="G193" s="3">
        <v>0.15</v>
      </c>
      <c r="H193" s="3">
        <v>255.24</v>
      </c>
      <c r="I193" s="4">
        <v>45743</v>
      </c>
      <c r="J193" s="4">
        <f t="shared" ca="1" si="2"/>
        <v>46303.639034259257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>
      <c r="A194" s="3" t="s">
        <v>75</v>
      </c>
      <c r="B194" s="3" t="s">
        <v>71</v>
      </c>
      <c r="C194" s="3" t="s">
        <v>34</v>
      </c>
      <c r="D194" s="3" t="s">
        <v>15</v>
      </c>
      <c r="E194" s="3">
        <v>1456.94</v>
      </c>
      <c r="F194" s="3">
        <v>14</v>
      </c>
      <c r="G194" s="3">
        <v>0.05</v>
      </c>
      <c r="H194" s="3">
        <v>692.05</v>
      </c>
      <c r="I194" s="4">
        <v>45745</v>
      </c>
      <c r="J194" s="4">
        <f t="shared" ca="1" si="2"/>
        <v>46303.639034259257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>
      <c r="A195" s="3" t="s">
        <v>44</v>
      </c>
      <c r="B195" s="3" t="s">
        <v>61</v>
      </c>
      <c r="C195" s="3" t="s">
        <v>18</v>
      </c>
      <c r="D195" s="3" t="s">
        <v>27</v>
      </c>
      <c r="E195" s="3">
        <v>1093.3800000000001</v>
      </c>
      <c r="F195" s="3">
        <v>17</v>
      </c>
      <c r="G195" s="3">
        <v>0.1</v>
      </c>
      <c r="H195" s="3">
        <v>344.41</v>
      </c>
      <c r="I195" s="4">
        <v>45745</v>
      </c>
      <c r="J195" s="4">
        <f t="shared" ref="J195:J201" ca="1" si="3">NOW()</f>
        <v>46303.639034259257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>
      <c r="A196" s="3" t="s">
        <v>37</v>
      </c>
      <c r="B196" s="3" t="s">
        <v>43</v>
      </c>
      <c r="C196" s="3" t="s">
        <v>11</v>
      </c>
      <c r="D196" s="3" t="s">
        <v>15</v>
      </c>
      <c r="E196" s="3">
        <v>934.27</v>
      </c>
      <c r="F196" s="3">
        <v>8</v>
      </c>
      <c r="G196" s="3">
        <v>0.15</v>
      </c>
      <c r="H196" s="3">
        <v>397.06</v>
      </c>
      <c r="I196" s="4">
        <v>45746</v>
      </c>
      <c r="J196" s="4">
        <f t="shared" ca="1" si="3"/>
        <v>46303.639034259257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>
      <c r="A197" s="3" t="s">
        <v>70</v>
      </c>
      <c r="B197" s="3" t="s">
        <v>36</v>
      </c>
      <c r="C197" s="3" t="s">
        <v>34</v>
      </c>
      <c r="D197" s="3" t="s">
        <v>15</v>
      </c>
      <c r="E197" s="3">
        <v>1465.35</v>
      </c>
      <c r="F197" s="3">
        <v>8</v>
      </c>
      <c r="G197" s="3">
        <v>0.2</v>
      </c>
      <c r="H197" s="3">
        <v>586.14</v>
      </c>
      <c r="I197" s="4">
        <v>45746</v>
      </c>
      <c r="J197" s="4">
        <f t="shared" ca="1" si="3"/>
        <v>46303.639034259257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>
      <c r="A198" s="3" t="s">
        <v>52</v>
      </c>
      <c r="B198" s="3" t="s">
        <v>14</v>
      </c>
      <c r="C198" s="3" t="s">
        <v>20</v>
      </c>
      <c r="D198" s="3" t="s">
        <v>39</v>
      </c>
      <c r="E198" s="3">
        <v>740.8</v>
      </c>
      <c r="F198" s="3">
        <v>3</v>
      </c>
      <c r="G198" s="3">
        <v>0</v>
      </c>
      <c r="H198" s="3">
        <v>333.36</v>
      </c>
      <c r="I198" s="4">
        <v>45749</v>
      </c>
      <c r="J198" s="4">
        <f t="shared" ca="1" si="3"/>
        <v>46303.639034259257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>
      <c r="A199" s="3" t="s">
        <v>58</v>
      </c>
      <c r="B199" s="3" t="s">
        <v>43</v>
      </c>
      <c r="C199" s="3" t="s">
        <v>11</v>
      </c>
      <c r="D199" s="3" t="s">
        <v>39</v>
      </c>
      <c r="E199" s="3">
        <v>545.44000000000005</v>
      </c>
      <c r="F199" s="3">
        <v>17</v>
      </c>
      <c r="G199" s="3">
        <v>0</v>
      </c>
      <c r="H199" s="3">
        <v>245.45</v>
      </c>
      <c r="I199" s="4">
        <v>45752</v>
      </c>
      <c r="J199" s="4">
        <f t="shared" ca="1" si="3"/>
        <v>46303.639034259257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>
      <c r="A200" s="3" t="s">
        <v>35</v>
      </c>
      <c r="B200" s="3" t="s">
        <v>36</v>
      </c>
      <c r="C200" s="3" t="s">
        <v>18</v>
      </c>
      <c r="D200" s="3" t="s">
        <v>12</v>
      </c>
      <c r="E200" s="3">
        <v>997.61</v>
      </c>
      <c r="F200" s="3">
        <v>8</v>
      </c>
      <c r="G200" s="3">
        <v>0.05</v>
      </c>
      <c r="H200" s="3">
        <v>379.09</v>
      </c>
      <c r="I200" s="4">
        <v>45752</v>
      </c>
      <c r="J200" s="4">
        <f t="shared" ca="1" si="3"/>
        <v>46303.639034259257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>
      <c r="A201" s="3" t="s">
        <v>60</v>
      </c>
      <c r="B201" s="3" t="s">
        <v>36</v>
      </c>
      <c r="C201" s="3" t="s">
        <v>20</v>
      </c>
      <c r="D201" s="3" t="s">
        <v>15</v>
      </c>
      <c r="E201" s="3">
        <v>928.32</v>
      </c>
      <c r="F201" s="3">
        <v>2</v>
      </c>
      <c r="G201" s="3">
        <v>0.05</v>
      </c>
      <c r="H201" s="3">
        <v>440.95</v>
      </c>
      <c r="I201" s="4">
        <v>45754</v>
      </c>
      <c r="J201" s="4">
        <f t="shared" ca="1" si="3"/>
        <v>46303.639034259257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</sheetData>
  <conditionalFormatting sqref="B1:B201">
    <cfRule type="top10" dxfId="4" priority="5" rank="10"/>
  </conditionalFormatting>
  <conditionalFormatting sqref="D1:D201">
    <cfRule type="top10" dxfId="3" priority="3" rank="10"/>
    <cfRule type="top10" dxfId="2" priority="4" rank="10"/>
  </conditionalFormatting>
  <conditionalFormatting sqref="E1:E201">
    <cfRule type="top10" dxfId="1" priority="1" rank="10"/>
    <cfRule type="top10" dxfId="0" priority="2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9BD3-414B-4A5F-BAAC-01D22A046A34}">
  <dimension ref="A1:I35"/>
  <sheetViews>
    <sheetView topLeftCell="A12" workbookViewId="0">
      <selection activeCell="C24" sqref="C24"/>
    </sheetView>
  </sheetViews>
  <sheetFormatPr defaultRowHeight="14.4"/>
  <cols>
    <col min="1" max="1" width="36.664062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5">
      <c r="A1" s="5" t="s">
        <v>77</v>
      </c>
    </row>
    <row r="2" spans="1:5">
      <c r="A2" t="s">
        <v>78</v>
      </c>
      <c r="B2" s="5" t="s">
        <v>4</v>
      </c>
      <c r="C2" s="5" t="s">
        <v>5</v>
      </c>
      <c r="D2" s="5" t="s">
        <v>6</v>
      </c>
      <c r="E2" s="5" t="s">
        <v>8</v>
      </c>
    </row>
    <row r="3" spans="1:5">
      <c r="A3" t="s">
        <v>79</v>
      </c>
      <c r="B3">
        <v>200</v>
      </c>
      <c r="C3">
        <v>200</v>
      </c>
      <c r="D3">
        <v>200</v>
      </c>
      <c r="E3">
        <v>200</v>
      </c>
    </row>
    <row r="4" spans="1:5">
      <c r="A4" t="s">
        <v>80</v>
      </c>
      <c r="B4">
        <v>976.08879999999965</v>
      </c>
      <c r="C4">
        <v>9.9949999999999992</v>
      </c>
      <c r="D4">
        <v>9.7250000000000003E-2</v>
      </c>
      <c r="E4">
        <v>341.43505000000005</v>
      </c>
    </row>
    <row r="5" spans="1:5">
      <c r="A5" t="s">
        <v>81</v>
      </c>
      <c r="B5">
        <v>21.161850448978406</v>
      </c>
      <c r="C5">
        <v>0.39927682743257598</v>
      </c>
      <c r="D5">
        <v>5.1142413732752686E-3</v>
      </c>
      <c r="E5">
        <v>9.6001196472332531</v>
      </c>
    </row>
    <row r="6" spans="1:5">
      <c r="A6" t="s">
        <v>82</v>
      </c>
      <c r="B6">
        <v>976.72</v>
      </c>
      <c r="C6">
        <v>10</v>
      </c>
      <c r="D6">
        <v>0.1</v>
      </c>
      <c r="E6">
        <v>332.255</v>
      </c>
    </row>
    <row r="7" spans="1:5">
      <c r="A7" t="s">
        <v>83</v>
      </c>
      <c r="B7">
        <v>299.27375909856431</v>
      </c>
      <c r="C7" s="6">
        <v>5.6466270449645082</v>
      </c>
      <c r="D7">
        <v>7.232629511335488E-2</v>
      </c>
      <c r="E7">
        <v>135.7661940552168</v>
      </c>
    </row>
    <row r="8" spans="1:5">
      <c r="A8" t="s">
        <v>84</v>
      </c>
      <c r="B8">
        <v>89564.782884985514</v>
      </c>
      <c r="C8">
        <v>31.884396984924617</v>
      </c>
      <c r="D8">
        <v>5.2310929648241022E-3</v>
      </c>
      <c r="E8">
        <v>18432.459448238787</v>
      </c>
    </row>
    <row r="9" spans="1:5">
      <c r="A9" t="s">
        <v>85</v>
      </c>
      <c r="B9">
        <v>-8.8595231919740502E-2</v>
      </c>
      <c r="C9">
        <v>-1.2091053826620759</v>
      </c>
      <c r="D9">
        <v>-1.3257012415855784</v>
      </c>
      <c r="E9">
        <v>0.26450643813582442</v>
      </c>
    </row>
    <row r="10" spans="1:5">
      <c r="A10" t="s">
        <v>86</v>
      </c>
      <c r="B10">
        <v>0.14685796564193557</v>
      </c>
      <c r="C10">
        <v>6.084586432077814E-2</v>
      </c>
      <c r="D10">
        <v>9.6827385576684841E-2</v>
      </c>
      <c r="E10">
        <v>0.57339636063424715</v>
      </c>
    </row>
    <row r="11" spans="1:5">
      <c r="A11" t="s">
        <v>87</v>
      </c>
      <c r="B11">
        <v>1665.15</v>
      </c>
      <c r="C11">
        <v>18</v>
      </c>
      <c r="D11">
        <v>0.2</v>
      </c>
      <c r="E11">
        <v>704.83</v>
      </c>
    </row>
    <row r="12" spans="1:5">
      <c r="A12" t="s">
        <v>88</v>
      </c>
      <c r="B12">
        <v>258.51</v>
      </c>
      <c r="C12">
        <v>1</v>
      </c>
      <c r="D12">
        <v>0</v>
      </c>
      <c r="E12">
        <v>64.63</v>
      </c>
    </row>
    <row r="13" spans="1:5">
      <c r="A13" t="s">
        <v>89</v>
      </c>
      <c r="B13">
        <v>1923.66</v>
      </c>
      <c r="C13">
        <v>19</v>
      </c>
      <c r="D13">
        <v>0.2</v>
      </c>
      <c r="E13">
        <v>769.46</v>
      </c>
    </row>
    <row r="14" spans="1:5">
      <c r="A14" t="s">
        <v>90</v>
      </c>
      <c r="B14">
        <v>195217.75999999992</v>
      </c>
      <c r="C14">
        <v>1999</v>
      </c>
      <c r="D14">
        <v>19.45</v>
      </c>
      <c r="E14">
        <v>68287.010000000009</v>
      </c>
    </row>
    <row r="17" spans="1:6">
      <c r="A17" s="5" t="s">
        <v>91</v>
      </c>
    </row>
    <row r="18" spans="1:6">
      <c r="A18" t="s">
        <v>92</v>
      </c>
    </row>
    <row r="20" spans="1:6">
      <c r="A20" s="7" t="s">
        <v>93</v>
      </c>
      <c r="B20" s="7"/>
    </row>
    <row r="21" spans="1:6">
      <c r="A21" t="s">
        <v>94</v>
      </c>
      <c r="B21">
        <v>0.77340306414342619</v>
      </c>
    </row>
    <row r="22" spans="1:6">
      <c r="A22" t="s">
        <v>95</v>
      </c>
      <c r="B22">
        <v>0.59815229962644056</v>
      </c>
    </row>
    <row r="23" spans="1:6">
      <c r="A23" t="s">
        <v>96</v>
      </c>
      <c r="B23">
        <v>0.59612276578617007</v>
      </c>
    </row>
    <row r="24" spans="1:6">
      <c r="A24" t="s">
        <v>81</v>
      </c>
      <c r="B24">
        <v>86.281230529665166</v>
      </c>
    </row>
    <row r="25" spans="1:6">
      <c r="A25" t="s">
        <v>97</v>
      </c>
      <c r="B25">
        <v>200</v>
      </c>
    </row>
    <row r="27" spans="1:6">
      <c r="A27" t="s">
        <v>98</v>
      </c>
    </row>
    <row r="28" spans="1:6">
      <c r="A28" s="8"/>
      <c r="B28" s="8" t="s">
        <v>103</v>
      </c>
      <c r="C28" s="8" t="s">
        <v>104</v>
      </c>
      <c r="D28" s="8" t="s">
        <v>105</v>
      </c>
      <c r="E28" s="8" t="s">
        <v>106</v>
      </c>
      <c r="F28" s="8" t="s">
        <v>107</v>
      </c>
    </row>
    <row r="29" spans="1:6">
      <c r="A29" t="s">
        <v>99</v>
      </c>
      <c r="B29">
        <v>1</v>
      </c>
      <c r="C29">
        <v>2194058.1833402822</v>
      </c>
      <c r="D29">
        <v>2194058.1833402822</v>
      </c>
      <c r="E29">
        <v>294.72398427548114</v>
      </c>
      <c r="F29">
        <v>4.6269367558910499E-41</v>
      </c>
    </row>
    <row r="30" spans="1:6">
      <c r="A30" t="s">
        <v>100</v>
      </c>
      <c r="B30">
        <v>198</v>
      </c>
      <c r="C30">
        <v>1474001.2468592182</v>
      </c>
      <c r="D30">
        <v>7444.4507417132236</v>
      </c>
    </row>
    <row r="31" spans="1:6">
      <c r="A31" t="s">
        <v>101</v>
      </c>
      <c r="B31">
        <v>199</v>
      </c>
      <c r="C31">
        <v>3668059.4301995002</v>
      </c>
    </row>
    <row r="33" spans="1:9">
      <c r="A33" s="8"/>
      <c r="B33" s="8" t="s">
        <v>108</v>
      </c>
      <c r="C33" s="8" t="s">
        <v>81</v>
      </c>
      <c r="D33" s="8" t="s">
        <v>109</v>
      </c>
      <c r="E33" s="8" t="s">
        <v>110</v>
      </c>
      <c r="F33" s="8" t="s">
        <v>111</v>
      </c>
      <c r="G33" s="8" t="s">
        <v>112</v>
      </c>
      <c r="H33" s="8" t="s">
        <v>113</v>
      </c>
      <c r="I33" s="8" t="s">
        <v>114</v>
      </c>
    </row>
    <row r="34" spans="1:9">
      <c r="A34" t="s">
        <v>102</v>
      </c>
      <c r="B34">
        <v>-1.0315504901911368</v>
      </c>
      <c r="C34">
        <v>20.860617005445505</v>
      </c>
      <c r="D34">
        <v>-4.9449663445805959E-2</v>
      </c>
      <c r="E34">
        <v>0.96061079696907459</v>
      </c>
      <c r="F34">
        <v>-42.169051823378965</v>
      </c>
      <c r="G34">
        <v>40.105950842996691</v>
      </c>
      <c r="H34">
        <v>-42.169051823378965</v>
      </c>
      <c r="I34">
        <v>40.105950842996691</v>
      </c>
    </row>
    <row r="35" spans="1:9">
      <c r="A35" t="s">
        <v>115</v>
      </c>
      <c r="B35">
        <v>0.35085598819512254</v>
      </c>
      <c r="C35">
        <v>2.0437188630135626E-2</v>
      </c>
      <c r="D35">
        <v>17.167527028535048</v>
      </c>
      <c r="E35">
        <v>4.6269367558907868E-41</v>
      </c>
      <c r="F35">
        <v>0.31055349501865764</v>
      </c>
      <c r="G35">
        <v>0.39115848137158743</v>
      </c>
      <c r="H35">
        <v>0.31055349501865764</v>
      </c>
      <c r="I35">
        <v>0.39115848137158743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8119-2F40-4052-9DB9-A458F129FCC5}">
  <dimension ref="A1:J18"/>
  <sheetViews>
    <sheetView workbookViewId="0">
      <selection activeCell="C24" sqref="C24"/>
    </sheetView>
  </sheetViews>
  <sheetFormatPr defaultRowHeight="14.4"/>
  <cols>
    <col min="1" max="1" width="48.77734375" bestFit="1" customWidth="1"/>
    <col min="2" max="3" width="18.6640625" bestFit="1" customWidth="1"/>
    <col min="4" max="4" width="10.5546875" bestFit="1" customWidth="1"/>
    <col min="5" max="5" width="11.88671875" bestFit="1" customWidth="1"/>
    <col min="6" max="6" width="13.5546875" bestFit="1" customWidth="1"/>
    <col min="7" max="7" width="12.109375" bestFit="1" customWidth="1"/>
    <col min="10" max="10" width="11.88671875" bestFit="1" customWidth="1"/>
  </cols>
  <sheetData>
    <row r="1" spans="1:10">
      <c r="A1" s="5" t="s">
        <v>120</v>
      </c>
    </row>
    <row r="3" spans="1:10">
      <c r="A3" s="9" t="s">
        <v>119</v>
      </c>
      <c r="B3" s="9" t="s">
        <v>118</v>
      </c>
    </row>
    <row r="4" spans="1:10">
      <c r="A4" s="9" t="s">
        <v>116</v>
      </c>
      <c r="B4" t="s">
        <v>12</v>
      </c>
      <c r="C4" t="s">
        <v>15</v>
      </c>
      <c r="D4" t="s">
        <v>21</v>
      </c>
      <c r="E4" t="s">
        <v>27</v>
      </c>
      <c r="F4" t="s">
        <v>39</v>
      </c>
      <c r="G4" t="s">
        <v>117</v>
      </c>
    </row>
    <row r="5" spans="1:10">
      <c r="A5" s="10" t="s">
        <v>34</v>
      </c>
      <c r="B5" s="11">
        <v>11297.150000000001</v>
      </c>
      <c r="C5" s="11">
        <v>12200.26</v>
      </c>
      <c r="D5" s="11">
        <v>6621.24</v>
      </c>
      <c r="E5" s="11">
        <v>4876.96</v>
      </c>
      <c r="F5" s="11">
        <v>8472.7199999999993</v>
      </c>
      <c r="G5" s="11">
        <v>43468.33</v>
      </c>
    </row>
    <row r="6" spans="1:10">
      <c r="A6" s="10" t="s">
        <v>18</v>
      </c>
      <c r="B6" s="11">
        <v>11389.090000000002</v>
      </c>
      <c r="C6" s="11">
        <v>2401.4499999999998</v>
      </c>
      <c r="D6" s="11">
        <v>2869.54</v>
      </c>
      <c r="E6" s="11">
        <v>7592.3399999999992</v>
      </c>
      <c r="F6" s="11">
        <v>8189.2200000000012</v>
      </c>
      <c r="G6" s="11">
        <v>32441.640000000003</v>
      </c>
    </row>
    <row r="7" spans="1:10">
      <c r="A7" s="10" t="s">
        <v>24</v>
      </c>
      <c r="B7" s="11">
        <v>8037.0100000000011</v>
      </c>
      <c r="C7" s="11">
        <v>8422.82</v>
      </c>
      <c r="D7" s="11">
        <v>8191.7099999999991</v>
      </c>
      <c r="E7" s="11">
        <v>6978.08</v>
      </c>
      <c r="F7" s="11">
        <v>3345.8</v>
      </c>
      <c r="G7" s="11">
        <v>34975.420000000006</v>
      </c>
    </row>
    <row r="8" spans="1:10">
      <c r="A8" s="10" t="s">
        <v>20</v>
      </c>
      <c r="B8" s="11">
        <v>9588.0400000000009</v>
      </c>
      <c r="C8" s="11">
        <v>8393.630000000001</v>
      </c>
      <c r="D8" s="11">
        <v>11989.070000000003</v>
      </c>
      <c r="E8" s="11">
        <v>7982.73</v>
      </c>
      <c r="F8" s="11">
        <v>2295.3199999999997</v>
      </c>
      <c r="G8" s="11">
        <v>40248.79</v>
      </c>
    </row>
    <row r="9" spans="1:10">
      <c r="A9" s="10" t="s">
        <v>11</v>
      </c>
      <c r="B9" s="11">
        <v>6691.17</v>
      </c>
      <c r="C9" s="11">
        <v>10509.429999999998</v>
      </c>
      <c r="D9" s="11">
        <v>11372.44</v>
      </c>
      <c r="E9" s="11">
        <v>9182.7800000000007</v>
      </c>
      <c r="F9" s="11">
        <v>6327.76</v>
      </c>
      <c r="G9" s="11">
        <v>44083.58</v>
      </c>
    </row>
    <row r="10" spans="1:10">
      <c r="A10" s="10" t="s">
        <v>117</v>
      </c>
      <c r="B10" s="11">
        <v>47002.460000000006</v>
      </c>
      <c r="C10" s="11">
        <v>41927.589999999997</v>
      </c>
      <c r="D10" s="11">
        <v>41044</v>
      </c>
      <c r="E10" s="11">
        <v>36612.89</v>
      </c>
      <c r="F10" s="11">
        <v>28630.82</v>
      </c>
      <c r="G10" s="11">
        <v>195217.76</v>
      </c>
    </row>
    <row r="12" spans="1:10">
      <c r="A12" s="5" t="s">
        <v>121</v>
      </c>
    </row>
    <row r="13" spans="1:10">
      <c r="A13" s="10"/>
      <c r="B13" s="11" t="s">
        <v>122</v>
      </c>
      <c r="C13" s="12" t="s">
        <v>123</v>
      </c>
      <c r="D13" s="11"/>
      <c r="E13" s="13">
        <v>0.05</v>
      </c>
      <c r="J13" s="11"/>
    </row>
    <row r="14" spans="1:10">
      <c r="A14" s="12"/>
      <c r="B14">
        <v>0.05</v>
      </c>
      <c r="C14" s="13">
        <f>E14</f>
        <v>185456.872</v>
      </c>
      <c r="E14" s="13">
        <f>G10*(1-E13)</f>
        <v>185456.872</v>
      </c>
    </row>
    <row r="15" spans="1:10">
      <c r="A15" s="12"/>
      <c r="B15">
        <v>0.1</v>
      </c>
      <c r="C15">
        <f t="dataTable" ref="C15:C17" dt2D="0" dtr="0" r1="E13"/>
        <v>175695.98400000003</v>
      </c>
    </row>
    <row r="16" spans="1:10">
      <c r="A16" s="12"/>
      <c r="B16">
        <v>0.15</v>
      </c>
      <c r="C16">
        <v>165935.09599999999</v>
      </c>
    </row>
    <row r="17" spans="1:3">
      <c r="A17" s="12"/>
      <c r="B17">
        <v>0.2</v>
      </c>
      <c r="C17">
        <v>156174.20800000001</v>
      </c>
    </row>
    <row r="18" spans="1:3">
      <c r="A1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1F22-0B75-47FA-B6C3-C0FEF0AAB271}">
  <dimension ref="A1:E10"/>
  <sheetViews>
    <sheetView workbookViewId="0">
      <selection activeCell="G13" sqref="G13"/>
    </sheetView>
  </sheetViews>
  <sheetFormatPr defaultRowHeight="14.4"/>
  <cols>
    <col min="1" max="1" width="21.109375" bestFit="1" customWidth="1"/>
    <col min="2" max="2" width="13.88671875" bestFit="1" customWidth="1"/>
    <col min="3" max="3" width="17.88671875" bestFit="1" customWidth="1"/>
    <col min="4" max="4" width="16.109375" bestFit="1" customWidth="1"/>
  </cols>
  <sheetData>
    <row r="1" spans="1:5">
      <c r="A1" s="14" t="s">
        <v>124</v>
      </c>
      <c r="B1" s="15"/>
      <c r="C1" s="15"/>
      <c r="D1" s="15"/>
    </row>
    <row r="3" spans="1:5">
      <c r="A3" s="14" t="s">
        <v>125</v>
      </c>
      <c r="B3" s="14"/>
      <c r="C3" s="14"/>
      <c r="D3" s="14"/>
      <c r="E3" s="14"/>
    </row>
    <row r="4" spans="1:5">
      <c r="A4" s="16" t="s">
        <v>126</v>
      </c>
      <c r="B4" s="16" t="s">
        <v>126</v>
      </c>
      <c r="C4" s="16" t="s">
        <v>126</v>
      </c>
      <c r="D4" s="16" t="s">
        <v>126</v>
      </c>
    </row>
    <row r="5" spans="1:5">
      <c r="A5" s="19">
        <f>'Pivot &amp; What-If'!G10</f>
        <v>195217.76</v>
      </c>
      <c r="B5" s="19">
        <f>SUM(Dataset!H2:H201)</f>
        <v>68287.010000000009</v>
      </c>
      <c r="C5" s="19">
        <f>A5/D5</f>
        <v>976.08879999999999</v>
      </c>
      <c r="D5" s="19">
        <f>COUNTA(Dataset!A2:A201)</f>
        <v>200</v>
      </c>
    </row>
    <row r="8" spans="1:5">
      <c r="A8" s="14" t="s">
        <v>127</v>
      </c>
      <c r="B8" s="14"/>
      <c r="C8" s="14"/>
      <c r="D8" s="14"/>
    </row>
    <row r="9" spans="1:5">
      <c r="A9" s="16" t="s">
        <v>128</v>
      </c>
      <c r="B9" s="16" t="s">
        <v>129</v>
      </c>
      <c r="C9" s="16" t="s">
        <v>130</v>
      </c>
      <c r="D9" s="16" t="s">
        <v>131</v>
      </c>
    </row>
    <row r="10" spans="1:5">
      <c r="A10" s="17" t="s">
        <v>132</v>
      </c>
      <c r="B10" s="18">
        <v>4831.49</v>
      </c>
      <c r="C10" s="17">
        <v>3</v>
      </c>
      <c r="D10" s="17" t="s">
        <v>24</v>
      </c>
    </row>
  </sheetData>
  <mergeCells count="3">
    <mergeCell ref="A3:E3"/>
    <mergeCell ref="A1:D1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Analysis &amp; Statistics</vt:lpstr>
      <vt:lpstr>Pivot &amp; What-If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Malaviya</dc:creator>
  <cp:lastModifiedBy>Shlok Malaviya</cp:lastModifiedBy>
  <dcterms:created xsi:type="dcterms:W3CDTF">2026-10-07T06:08:08Z</dcterms:created>
  <dcterms:modified xsi:type="dcterms:W3CDTF">2026-10-08T09:50:54Z</dcterms:modified>
</cp:coreProperties>
</file>